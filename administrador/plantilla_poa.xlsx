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GPlan01\Users\Erodriguez\Documents\Carpeta Compartida\Plan de Trabajo y POA 2025\POA 2025\POA 2025 FINALIZADOS (Revisión con unidades)\"/>
    </mc:Choice>
  </mc:AlternateContent>
  <xr:revisionPtr revIDLastSave="0" documentId="13_ncr:1_{256C5774-F6D9-4D8A-8809-306C10F68B40}" xr6:coauthVersionLast="47" xr6:coauthVersionMax="47" xr10:uidLastSave="{00000000-0000-0000-0000-000000000000}"/>
  <bookViews>
    <workbookView xWindow="-120" yWindow="-120" windowWidth="29040" windowHeight="15840" tabRatio="800" xr2:uid="{00000000-000D-0000-FFFF-FFFF00000000}"/>
  </bookViews>
  <sheets>
    <sheet name="7 POA 2022" sheetId="7" r:id="rId1"/>
    <sheet name="Hoja1" sheetId="8" r:id="rId2"/>
  </sheets>
  <calcPr calcId="191029"/>
</workbook>
</file>

<file path=xl/calcChain.xml><?xml version="1.0" encoding="utf-8"?>
<calcChain xmlns="http://schemas.openxmlformats.org/spreadsheetml/2006/main">
  <c r="BE25" i="7" l="1"/>
  <c r="BE24" i="7"/>
  <c r="BE23" i="7"/>
  <c r="BE22" i="7"/>
  <c r="BE21" i="7"/>
  <c r="BE20" i="7"/>
  <c r="BE19" i="7"/>
  <c r="BE18" i="7"/>
  <c r="BE17" i="7"/>
  <c r="BE16" i="7"/>
  <c r="BE15" i="7"/>
  <c r="BA25" i="7"/>
  <c r="BA24" i="7"/>
  <c r="BA23" i="7"/>
  <c r="BA22" i="7"/>
  <c r="BA21" i="7"/>
  <c r="BA20" i="7"/>
  <c r="BA19" i="7"/>
  <c r="BA18" i="7"/>
  <c r="BA17" i="7"/>
  <c r="BA16" i="7"/>
  <c r="BA15" i="7"/>
  <c r="AW25" i="7"/>
  <c r="AW24" i="7"/>
  <c r="AW23" i="7"/>
  <c r="AW22" i="7"/>
  <c r="AW21" i="7"/>
  <c r="AW20" i="7"/>
  <c r="AW19" i="7"/>
  <c r="AW18" i="7"/>
  <c r="AW17" i="7"/>
  <c r="AW16" i="7"/>
  <c r="AW15" i="7"/>
  <c r="AR25" i="7"/>
  <c r="AR24" i="7"/>
  <c r="AR23" i="7"/>
  <c r="AR22" i="7"/>
  <c r="AR21" i="7"/>
  <c r="AR20" i="7"/>
  <c r="AR19" i="7"/>
  <c r="AR18" i="7"/>
  <c r="AR17" i="7"/>
  <c r="AR16" i="7"/>
  <c r="AR15" i="7"/>
  <c r="AN25" i="7"/>
  <c r="AN24" i="7"/>
  <c r="AN23" i="7"/>
  <c r="AN22" i="7"/>
  <c r="AN21" i="7"/>
  <c r="AN20" i="7"/>
  <c r="AN19" i="7"/>
  <c r="AT19" i="7" s="1"/>
  <c r="AN18" i="7"/>
  <c r="AN17" i="7"/>
  <c r="AN16" i="7"/>
  <c r="AN15" i="7"/>
  <c r="AJ25" i="7"/>
  <c r="AJ24" i="7"/>
  <c r="AJ23" i="7"/>
  <c r="AJ22" i="7"/>
  <c r="AJ21" i="7"/>
  <c r="AJ20" i="7"/>
  <c r="AJ19" i="7"/>
  <c r="AJ18" i="7"/>
  <c r="AJ17" i="7"/>
  <c r="AJ16" i="7"/>
  <c r="AJ15" i="7"/>
  <c r="AD25" i="7"/>
  <c r="AD24" i="7"/>
  <c r="AD23" i="7"/>
  <c r="AD22" i="7"/>
  <c r="AD21" i="7"/>
  <c r="AD20" i="7"/>
  <c r="AD19" i="7"/>
  <c r="AD18" i="7"/>
  <c r="AD17" i="7"/>
  <c r="AD16" i="7"/>
  <c r="AF16" i="7" s="1"/>
  <c r="AD15" i="7"/>
  <c r="Z25" i="7"/>
  <c r="Z24" i="7"/>
  <c r="Z23" i="7"/>
  <c r="Z22" i="7"/>
  <c r="Z21" i="7"/>
  <c r="Z20" i="7"/>
  <c r="Z19" i="7"/>
  <c r="Z18" i="7"/>
  <c r="Z17" i="7"/>
  <c r="Z16" i="7"/>
  <c r="Z15" i="7"/>
  <c r="V25" i="7"/>
  <c r="V24" i="7"/>
  <c r="V23" i="7"/>
  <c r="V22" i="7"/>
  <c r="V21" i="7"/>
  <c r="V20" i="7"/>
  <c r="V19" i="7"/>
  <c r="V18" i="7"/>
  <c r="V17" i="7"/>
  <c r="V16" i="7"/>
  <c r="V15" i="7"/>
  <c r="Q25" i="7"/>
  <c r="Q24" i="7"/>
  <c r="Q23" i="7"/>
  <c r="Q22" i="7"/>
  <c r="Q21" i="7"/>
  <c r="Q20" i="7"/>
  <c r="Q19" i="7"/>
  <c r="Q18" i="7"/>
  <c r="Q17" i="7"/>
  <c r="Q16" i="7"/>
  <c r="Q15" i="7"/>
  <c r="M25" i="7"/>
  <c r="M24" i="7"/>
  <c r="M23" i="7"/>
  <c r="M22" i="7"/>
  <c r="M21" i="7"/>
  <c r="M20" i="7"/>
  <c r="M19" i="7"/>
  <c r="M18" i="7"/>
  <c r="M17" i="7"/>
  <c r="M16" i="7"/>
  <c r="M15" i="7"/>
  <c r="I25" i="7"/>
  <c r="I24" i="7"/>
  <c r="I23" i="7"/>
  <c r="I22" i="7"/>
  <c r="I21" i="7"/>
  <c r="I20" i="7"/>
  <c r="I19" i="7"/>
  <c r="I18" i="7"/>
  <c r="I17" i="7"/>
  <c r="I16" i="7"/>
  <c r="I15" i="7"/>
  <c r="BG25" i="7"/>
  <c r="BG24" i="7"/>
  <c r="BG23" i="7"/>
  <c r="BG22" i="7"/>
  <c r="BG21" i="7"/>
  <c r="BG20" i="7"/>
  <c r="BG19" i="7"/>
  <c r="BG18" i="7"/>
  <c r="BG17" i="7"/>
  <c r="BG16" i="7"/>
  <c r="BG15" i="7"/>
  <c r="AT25" i="7"/>
  <c r="AT24" i="7"/>
  <c r="AT23" i="7"/>
  <c r="AT22" i="7"/>
  <c r="AT21" i="7"/>
  <c r="AT20" i="7"/>
  <c r="AT18" i="7"/>
  <c r="AT17" i="7"/>
  <c r="AT16" i="7"/>
  <c r="AT15" i="7"/>
  <c r="AF25" i="7"/>
  <c r="AF24" i="7"/>
  <c r="AF23" i="7"/>
  <c r="AF22" i="7"/>
  <c r="AF21" i="7"/>
  <c r="AF20" i="7"/>
  <c r="AF19" i="7"/>
  <c r="AF18" i="7"/>
  <c r="AF17" i="7"/>
  <c r="AF15" i="7"/>
  <c r="S25" i="7"/>
  <c r="S24" i="7"/>
  <c r="S23" i="7"/>
  <c r="S22" i="7"/>
  <c r="S21" i="7"/>
  <c r="S20" i="7"/>
  <c r="S19" i="7"/>
  <c r="S18" i="7"/>
  <c r="S17" i="7"/>
  <c r="S16" i="7"/>
  <c r="S15" i="7"/>
  <c r="BE14" i="7"/>
  <c r="BA14" i="7"/>
  <c r="AW14" i="7"/>
  <c r="AR14" i="7"/>
  <c r="AN14" i="7"/>
  <c r="AJ14" i="7"/>
  <c r="AD14" i="7"/>
  <c r="Z14" i="7"/>
  <c r="V14" i="7"/>
  <c r="Q14" i="7"/>
  <c r="M14" i="7"/>
  <c r="I14" i="7"/>
  <c r="BG14" i="7"/>
  <c r="AT14" i="7"/>
  <c r="AF14" i="7"/>
  <c r="S14" i="7"/>
  <c r="BE41" i="7"/>
  <c r="BA41" i="7"/>
  <c r="AW41" i="7"/>
  <c r="AR41" i="7"/>
  <c r="AN41" i="7"/>
  <c r="AJ41" i="7"/>
  <c r="AD41" i="7"/>
  <c r="Z41" i="7"/>
  <c r="V41" i="7"/>
  <c r="Q41" i="7"/>
  <c r="M41" i="7"/>
  <c r="I41" i="7"/>
  <c r="BE40" i="7"/>
  <c r="BA40" i="7"/>
  <c r="AW40" i="7"/>
  <c r="AR40" i="7"/>
  <c r="AN40" i="7"/>
  <c r="AJ40" i="7"/>
  <c r="AD40" i="7"/>
  <c r="Z40" i="7"/>
  <c r="V40" i="7"/>
  <c r="Q40" i="7"/>
  <c r="M40" i="7"/>
  <c r="I40" i="7"/>
  <c r="BE39" i="7"/>
  <c r="BA39" i="7"/>
  <c r="AW39" i="7"/>
  <c r="AR39" i="7"/>
  <c r="AN39" i="7"/>
  <c r="AJ39" i="7"/>
  <c r="AD39" i="7"/>
  <c r="Z39" i="7"/>
  <c r="V39" i="7"/>
  <c r="Q39" i="7"/>
  <c r="M39" i="7"/>
  <c r="I39" i="7"/>
  <c r="BE38" i="7"/>
  <c r="BA38" i="7"/>
  <c r="AW38" i="7"/>
  <c r="AR38" i="7"/>
  <c r="AN38" i="7"/>
  <c r="AJ38" i="7"/>
  <c r="AD38" i="7"/>
  <c r="Z38" i="7"/>
  <c r="V38" i="7"/>
  <c r="Q38" i="7"/>
  <c r="M38" i="7"/>
  <c r="I38" i="7"/>
  <c r="BE37" i="7"/>
  <c r="BA37" i="7"/>
  <c r="AW37" i="7"/>
  <c r="AR37" i="7"/>
  <c r="AN37" i="7"/>
  <c r="AJ37" i="7"/>
  <c r="AD37" i="7"/>
  <c r="Z37" i="7"/>
  <c r="V37" i="7"/>
  <c r="Q37" i="7"/>
  <c r="M37" i="7"/>
  <c r="I37" i="7"/>
  <c r="BE36" i="7"/>
  <c r="BA36" i="7"/>
  <c r="AW36" i="7"/>
  <c r="AR36" i="7"/>
  <c r="AN36" i="7"/>
  <c r="AJ36" i="7"/>
  <c r="AD36" i="7"/>
  <c r="Z36" i="7"/>
  <c r="V36" i="7"/>
  <c r="Q36" i="7"/>
  <c r="M36" i="7"/>
  <c r="I36" i="7"/>
  <c r="BE35" i="7"/>
  <c r="BA35" i="7"/>
  <c r="AW35" i="7"/>
  <c r="AR35" i="7"/>
  <c r="AN35" i="7"/>
  <c r="AJ35" i="7"/>
  <c r="AD35" i="7"/>
  <c r="Z35" i="7"/>
  <c r="V35" i="7"/>
  <c r="Q35" i="7"/>
  <c r="M35" i="7"/>
  <c r="I35" i="7"/>
  <c r="BE34" i="7"/>
  <c r="BA34" i="7"/>
  <c r="AW34" i="7"/>
  <c r="AR34" i="7"/>
  <c r="AN34" i="7"/>
  <c r="AJ34" i="7"/>
  <c r="AD34" i="7"/>
  <c r="Z34" i="7"/>
  <c r="V34" i="7"/>
  <c r="Q34" i="7"/>
  <c r="M34" i="7"/>
  <c r="I34" i="7"/>
  <c r="BE33" i="7"/>
  <c r="BA33" i="7"/>
  <c r="AW33" i="7"/>
  <c r="AR33" i="7"/>
  <c r="AN33" i="7"/>
  <c r="AJ33" i="7"/>
  <c r="AD33" i="7"/>
  <c r="Z33" i="7"/>
  <c r="V33" i="7"/>
  <c r="Q33" i="7"/>
  <c r="M33" i="7"/>
  <c r="I33" i="7"/>
  <c r="BE32" i="7"/>
  <c r="BA32" i="7"/>
  <c r="AW32" i="7"/>
  <c r="BG32" i="7" s="1"/>
  <c r="AR32" i="7"/>
  <c r="AN32" i="7"/>
  <c r="AJ32" i="7"/>
  <c r="AD32" i="7"/>
  <c r="Z32" i="7"/>
  <c r="V32" i="7"/>
  <c r="Q32" i="7"/>
  <c r="M32" i="7"/>
  <c r="I32" i="7"/>
  <c r="BE31" i="7"/>
  <c r="BA31" i="7"/>
  <c r="AW31" i="7"/>
  <c r="AR31" i="7"/>
  <c r="AN31" i="7"/>
  <c r="AJ31" i="7"/>
  <c r="AD31" i="7"/>
  <c r="Z31" i="7"/>
  <c r="V31" i="7"/>
  <c r="Q31" i="7"/>
  <c r="M31" i="7"/>
  <c r="I31" i="7"/>
  <c r="BE30" i="7"/>
  <c r="BA30" i="7"/>
  <c r="AW30" i="7"/>
  <c r="AR30" i="7"/>
  <c r="AN30" i="7"/>
  <c r="AJ30" i="7"/>
  <c r="AD30" i="7"/>
  <c r="Z30" i="7"/>
  <c r="V30" i="7"/>
  <c r="Q30" i="7"/>
  <c r="M30" i="7"/>
  <c r="I30" i="7"/>
  <c r="BE29" i="7"/>
  <c r="BA29" i="7"/>
  <c r="AW29" i="7"/>
  <c r="AR29" i="7"/>
  <c r="AN29" i="7"/>
  <c r="AJ29" i="7"/>
  <c r="AD29" i="7"/>
  <c r="Z29" i="7"/>
  <c r="V29" i="7"/>
  <c r="Q29" i="7"/>
  <c r="M29" i="7"/>
  <c r="I29" i="7"/>
  <c r="BE28" i="7"/>
  <c r="BA28" i="7"/>
  <c r="AW28" i="7"/>
  <c r="AR28" i="7"/>
  <c r="AN28" i="7"/>
  <c r="AJ28" i="7"/>
  <c r="AD28" i="7"/>
  <c r="Z28" i="7"/>
  <c r="V28" i="7"/>
  <c r="Q28" i="7"/>
  <c r="M28" i="7"/>
  <c r="I28" i="7"/>
  <c r="BE27" i="7"/>
  <c r="BA27" i="7"/>
  <c r="AW27" i="7"/>
  <c r="AR27" i="7"/>
  <c r="AN27" i="7"/>
  <c r="AJ27" i="7"/>
  <c r="AD27" i="7"/>
  <c r="Z27" i="7"/>
  <c r="V27" i="7"/>
  <c r="Q27" i="7"/>
  <c r="M27" i="7"/>
  <c r="I27" i="7"/>
  <c r="BJ11" i="7"/>
  <c r="AT35" i="7"/>
  <c r="S32" i="7"/>
  <c r="S31" i="7"/>
  <c r="S30" i="7"/>
  <c r="BG41" i="7"/>
  <c r="AT41" i="7"/>
  <c r="AF41" i="7"/>
  <c r="S41" i="7"/>
  <c r="BG33" i="7"/>
  <c r="AF32" i="7"/>
  <c r="BG40" i="7"/>
  <c r="AT40" i="7"/>
  <c r="AF40" i="7"/>
  <c r="S40" i="7"/>
  <c r="BG34" i="7"/>
  <c r="AF34" i="7"/>
  <c r="BG39" i="7"/>
  <c r="AT39" i="7"/>
  <c r="AF39" i="7"/>
  <c r="S39" i="7"/>
  <c r="AT36" i="7"/>
  <c r="BG38" i="7"/>
  <c r="AT38" i="7"/>
  <c r="AF38" i="7"/>
  <c r="S38" i="7"/>
  <c r="BG37" i="7"/>
  <c r="AT37" i="7"/>
  <c r="AF37" i="7"/>
  <c r="S37" i="7"/>
  <c r="AF27" i="7"/>
  <c r="S27" i="7"/>
  <c r="BG36" i="7"/>
  <c r="AF36" i="7"/>
  <c r="S36" i="7"/>
  <c r="BG35" i="7"/>
  <c r="AF35" i="7"/>
  <c r="S35" i="7"/>
  <c r="BG31" i="7"/>
  <c r="AT34" i="7"/>
  <c r="S34" i="7"/>
  <c r="AT33" i="7"/>
  <c r="AF33" i="7"/>
  <c r="S33" i="7"/>
  <c r="AT31" i="7"/>
  <c r="AF31" i="7"/>
  <c r="BG30" i="7"/>
  <c r="AT30" i="7"/>
  <c r="AF30" i="7"/>
  <c r="BG29" i="7"/>
  <c r="AF29" i="7"/>
  <c r="S29" i="7"/>
  <c r="AT28" i="7"/>
  <c r="BG28" i="7"/>
  <c r="AF28" i="7"/>
  <c r="S28" i="7"/>
  <c r="BG27" i="7"/>
  <c r="AT27" i="7"/>
  <c r="BH25" i="7" l="1"/>
  <c r="BH24" i="7"/>
  <c r="BH23" i="7"/>
  <c r="BH22" i="7"/>
  <c r="BH21" i="7"/>
  <c r="BH20" i="7"/>
  <c r="BH19" i="7"/>
  <c r="BH18" i="7"/>
  <c r="BH17" i="7"/>
  <c r="BH16" i="7"/>
  <c r="AT12" i="7"/>
  <c r="BH15" i="7"/>
  <c r="AG18" i="7"/>
  <c r="AG16" i="7"/>
  <c r="AG25" i="7"/>
  <c r="BI25" i="7" s="1"/>
  <c r="AG24" i="7"/>
  <c r="BI24" i="7" s="1"/>
  <c r="AF12" i="7"/>
  <c r="AG23" i="7"/>
  <c r="AG22" i="7"/>
  <c r="AG21" i="7"/>
  <c r="BI21" i="7" s="1"/>
  <c r="AG20" i="7"/>
  <c r="AG19" i="7"/>
  <c r="AG17" i="7"/>
  <c r="BI17" i="7" s="1"/>
  <c r="AG15" i="7"/>
  <c r="BG12" i="7"/>
  <c r="S12" i="7"/>
  <c r="BH14" i="7"/>
  <c r="AG14" i="7"/>
  <c r="BI14" i="7" s="1"/>
  <c r="AT32" i="7"/>
  <c r="BH32" i="7" s="1"/>
  <c r="BH41" i="7"/>
  <c r="AG41" i="7"/>
  <c r="BH40" i="7"/>
  <c r="AG40" i="7"/>
  <c r="BH39" i="7"/>
  <c r="AG39" i="7"/>
  <c r="BH38" i="7"/>
  <c r="AG38" i="7"/>
  <c r="BH37" i="7"/>
  <c r="AG37" i="7"/>
  <c r="BH36" i="7"/>
  <c r="AG36" i="7"/>
  <c r="BH35" i="7"/>
  <c r="AG35" i="7"/>
  <c r="AT29" i="7"/>
  <c r="BH29" i="7" s="1"/>
  <c r="BH34" i="7"/>
  <c r="AG34" i="7"/>
  <c r="BH33" i="7"/>
  <c r="AG33" i="7"/>
  <c r="AG32" i="7"/>
  <c r="BH31" i="7"/>
  <c r="AG31" i="7"/>
  <c r="BH30" i="7"/>
  <c r="AG30" i="7"/>
  <c r="AG29" i="7"/>
  <c r="BH28" i="7"/>
  <c r="AG28" i="7"/>
  <c r="BH27" i="7"/>
  <c r="AG27" i="7"/>
  <c r="BI23" i="7" l="1"/>
  <c r="BI22" i="7"/>
  <c r="BI20" i="7"/>
  <c r="BI19" i="7"/>
  <c r="BI18" i="7"/>
  <c r="BI16" i="7"/>
  <c r="BI15" i="7"/>
  <c r="BI41" i="7"/>
  <c r="BI40" i="7"/>
  <c r="BI39" i="7"/>
  <c r="BI38" i="7"/>
  <c r="BI37" i="7"/>
  <c r="BI36" i="7"/>
  <c r="BI35" i="7"/>
  <c r="BI34" i="7"/>
  <c r="BI33" i="7"/>
  <c r="BI32" i="7"/>
  <c r="BI31" i="7"/>
  <c r="BI30" i="7"/>
  <c r="BI29" i="7"/>
  <c r="BI28" i="7"/>
  <c r="BI27" i="7"/>
  <c r="BG26" i="7" l="1"/>
  <c r="BG11" i="7" s="1"/>
  <c r="AT26" i="7"/>
  <c r="AT11" i="7" s="1"/>
  <c r="AF26" i="7"/>
  <c r="AF11" i="7" s="1"/>
  <c r="S26" i="7"/>
  <c r="S11" i="7" s="1"/>
  <c r="AG12" i="7" l="1"/>
  <c r="AG26" i="7" l="1"/>
  <c r="AG11" i="7" s="1"/>
  <c r="BH26" i="7"/>
  <c r="BH12" i="7" l="1"/>
  <c r="BH11" i="7" s="1"/>
  <c r="BI26" i="7"/>
  <c r="BI12" i="7" l="1"/>
  <c r="BI1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GPLANIFICACION</author>
  </authors>
  <commentList>
    <comment ref="S11" authorId="0" shapeId="0" xr:uid="{00000000-0006-0000-0000-000001000000}">
      <text>
        <r>
          <rPr>
            <b/>
            <sz val="9"/>
            <color indexed="81"/>
            <rFont val="Tahoma"/>
            <family val="2"/>
          </rPr>
          <t>GPLANIFICACION:</t>
        </r>
        <r>
          <rPr>
            <sz val="9"/>
            <color indexed="81"/>
            <rFont val="Tahoma"/>
            <family val="2"/>
          </rPr>
          <t xml:space="preserve">
Nota ponderada
las actividades Planificadas tienen un 80% de ponderación y las no porgramadas un 20%.
De no existir actividades no programadas el 100% de ponderación es para las actividades programadas</t>
        </r>
      </text>
    </comment>
    <comment ref="AF11" authorId="0" shapeId="0" xr:uid="{00000000-0006-0000-0000-000002000000}">
      <text>
        <r>
          <rPr>
            <b/>
            <sz val="9"/>
            <color indexed="81"/>
            <rFont val="Tahoma"/>
            <family val="2"/>
          </rPr>
          <t>GPLANIFICACION:</t>
        </r>
        <r>
          <rPr>
            <sz val="9"/>
            <color indexed="81"/>
            <rFont val="Tahoma"/>
            <family val="2"/>
          </rPr>
          <t xml:space="preserve">
Nota ponderada
las actividades Planificadas tienen un 80% de ponderación y las no porgramadas un 20%.
De no existir actividades no programadas el 100% de ponderación es para las actividades programadas</t>
        </r>
      </text>
    </comment>
    <comment ref="AG11" authorId="0" shapeId="0" xr:uid="{00000000-0006-0000-0000-000003000000}">
      <text>
        <r>
          <rPr>
            <b/>
            <sz val="9"/>
            <color indexed="81"/>
            <rFont val="Tahoma"/>
            <family val="2"/>
          </rPr>
          <t>GPLANIFICACION:</t>
        </r>
        <r>
          <rPr>
            <sz val="9"/>
            <color indexed="81"/>
            <rFont val="Tahoma"/>
            <family val="2"/>
          </rPr>
          <t xml:space="preserve">
Nota ponderada
las actividades Planificadas tienen un 80% de ponderación y las no porgramadas un 20%.
De no existir actividades no programadas el 100% de ponderación es para las actividades programadas</t>
        </r>
      </text>
    </comment>
    <comment ref="AT11" authorId="0" shapeId="0" xr:uid="{00000000-0006-0000-0000-000004000000}">
      <text>
        <r>
          <rPr>
            <b/>
            <sz val="9"/>
            <color indexed="81"/>
            <rFont val="Tahoma"/>
            <family val="2"/>
          </rPr>
          <t>GPLANIFICACION:</t>
        </r>
        <r>
          <rPr>
            <sz val="9"/>
            <color indexed="81"/>
            <rFont val="Tahoma"/>
            <family val="2"/>
          </rPr>
          <t xml:space="preserve">
Nota ponderada
las actividades Planificadas tienen un 80% de ponderación y las no porgramadas un 20%.
De no existir actividades no programadas el 100% de ponderación es para las actividades programadas</t>
        </r>
      </text>
    </comment>
    <comment ref="BG11" authorId="0" shapeId="0" xr:uid="{00000000-0006-0000-0000-000005000000}">
      <text>
        <r>
          <rPr>
            <b/>
            <sz val="9"/>
            <color indexed="81"/>
            <rFont val="Tahoma"/>
            <family val="2"/>
          </rPr>
          <t>GPLANIFICACION:</t>
        </r>
        <r>
          <rPr>
            <sz val="9"/>
            <color indexed="81"/>
            <rFont val="Tahoma"/>
            <family val="2"/>
          </rPr>
          <t xml:space="preserve">
Nota ponderada
las actividades Planificadas tienen un 80% de ponderación y las no porgramadas un 20%.
De no existir actividades no programadas el 100% de ponderación es para las actividades programadas</t>
        </r>
      </text>
    </comment>
    <comment ref="BH11" authorId="0" shapeId="0" xr:uid="{00000000-0006-0000-0000-000006000000}">
      <text>
        <r>
          <rPr>
            <b/>
            <sz val="9"/>
            <color indexed="81"/>
            <rFont val="Tahoma"/>
            <family val="2"/>
          </rPr>
          <t>GPLANIFICACION:</t>
        </r>
        <r>
          <rPr>
            <sz val="9"/>
            <color indexed="81"/>
            <rFont val="Tahoma"/>
            <family val="2"/>
          </rPr>
          <t xml:space="preserve">
Nota ponderada
las actividades Planificadas tienen un 80% de ponderación y las no porgramadas un 20%.
De no existir actividades no programadas el 100% de ponderación es para las actividades programadas</t>
        </r>
      </text>
    </comment>
    <comment ref="BI11" authorId="0" shapeId="0" xr:uid="{00000000-0006-0000-0000-000007000000}">
      <text>
        <r>
          <rPr>
            <b/>
            <sz val="9"/>
            <color indexed="81"/>
            <rFont val="Tahoma"/>
            <family val="2"/>
          </rPr>
          <t>GPLANIFICACION:</t>
        </r>
        <r>
          <rPr>
            <sz val="9"/>
            <color indexed="81"/>
            <rFont val="Tahoma"/>
            <family val="2"/>
          </rPr>
          <t xml:space="preserve">
Nota ponderada
las actividades Planificadas tienen un 80% de ponderación y las no porgramadas un 20%.
De no existir actividades no programadas el 100% de ponderación es para las actividades programadas</t>
        </r>
      </text>
    </comment>
  </commentList>
</comments>
</file>

<file path=xl/sharedStrings.xml><?xml version="1.0" encoding="utf-8"?>
<sst xmlns="http://schemas.openxmlformats.org/spreadsheetml/2006/main" count="293" uniqueCount="59">
  <si>
    <t>8. Programación</t>
  </si>
  <si>
    <t>(Q1) TRIMESTRE 1</t>
  </si>
  <si>
    <t>(Q2) TRIMESTRE 2</t>
  </si>
  <si>
    <t>(Q3) TRIMESTRE 3</t>
  </si>
  <si>
    <t>(Q4) TRIMESTRE 4</t>
  </si>
  <si>
    <t>N°</t>
  </si>
  <si>
    <t>5. METAS</t>
  </si>
  <si>
    <t>7. UNIDAD DE MEDIDA</t>
  </si>
  <si>
    <t>ENE</t>
  </si>
  <si>
    <t>FEB</t>
  </si>
  <si>
    <t>MAR</t>
  </si>
  <si>
    <t>ABR</t>
  </si>
  <si>
    <t>MAY</t>
  </si>
  <si>
    <t>JUN</t>
  </si>
  <si>
    <t>JUL</t>
  </si>
  <si>
    <t>AGO</t>
  </si>
  <si>
    <t>SEP</t>
  </si>
  <si>
    <t>OCT</t>
  </si>
  <si>
    <t>NOV</t>
  </si>
  <si>
    <t>DIC</t>
  </si>
  <si>
    <t>Programado</t>
  </si>
  <si>
    <t>Realizado</t>
  </si>
  <si>
    <t>Cumplimiento</t>
  </si>
  <si>
    <t>Seguimiento
Trimestral</t>
  </si>
  <si>
    <t>Seguimiento
Semestral
(S1)</t>
  </si>
  <si>
    <t>Seguimiento
Semestral
(S2)</t>
  </si>
  <si>
    <t>9. Promedio
Anual</t>
  </si>
  <si>
    <t>10. Total de 
Recursos
$$$</t>
  </si>
  <si>
    <t>Actividades no planificadas</t>
  </si>
  <si>
    <t xml:space="preserve">4.PROYECTOS </t>
  </si>
  <si>
    <t>6.  ACTIVIDAD</t>
  </si>
  <si>
    <t>N/A</t>
  </si>
  <si>
    <t>Medio de verificación 
o 
Causal de 
Incumplimiento</t>
  </si>
  <si>
    <t>ALCALDÍA MUNICIPAL DE SANTA  ANA CENTRO</t>
  </si>
  <si>
    <t>PLAN OPERATIVO ANUAL 2025 (POA 2025)</t>
  </si>
  <si>
    <t>FORMATO POA 2025</t>
  </si>
  <si>
    <t>Verificar que se este cumpliendo con el servicio de barrido y recoleccion de desechos solidos en el municipio de Santa Ana  Centro</t>
  </si>
  <si>
    <t>Coordinar reuniones con el equipo de trabajo</t>
  </si>
  <si>
    <t xml:space="preserve">Realizar monitoreo de las diferentes zonas de barrido y recoleccion </t>
  </si>
  <si>
    <t xml:space="preserve">Agenda </t>
  </si>
  <si>
    <t>Verificar el cumplimiento del aseo y limpieza de cada una de las dependencias.</t>
  </si>
  <si>
    <t>Solicitud</t>
  </si>
  <si>
    <t>Realizar monitoreo de la Linea ciudadana</t>
  </si>
  <si>
    <t>Verificar que se de respuesta inmediata según sea el caso de la denuncia.</t>
  </si>
  <si>
    <t>Gestionar recursos informaticos para el buen funcionamiento de la gerencia</t>
  </si>
  <si>
    <t>Entregar carta de recepcion a tesoreria por el servicio prestado de disposicion final de residuos solidos</t>
  </si>
  <si>
    <t>Gestionar fondo de caja chica para cubrir gastos de emergencia y para usos varios de menos cuantia en la gerencia</t>
  </si>
  <si>
    <t>Solicitar al Honorable concejo la aprobación de fondos de caja chica.</t>
  </si>
  <si>
    <t xml:space="preserve">Bitacora </t>
  </si>
  <si>
    <t xml:space="preserve">Requerimiento </t>
  </si>
  <si>
    <t>Carta de recepción</t>
  </si>
  <si>
    <t>Garantizar  el desposito de desechos solidos en el relleno sanitario de ASEMUSA</t>
  </si>
  <si>
    <t>Realizar el proceso UCP para Contratación de los Servicio de Barrido, Recolección y Transporte de Desechos Sólidos Hasta el Sitio de Disposición Final en el Municipio de Santa Ana Centro</t>
  </si>
  <si>
    <t>Realizar proceso paraContratacion de los Servicios de Transporte en el Ferri para el Traslado de Residuos Solidos Domiciliarios en la Isla Teopan del Lago de Coatepeque del Municipio de Santa Ana Centro</t>
  </si>
  <si>
    <t>Realizar compras de menor cuantia para reparaciones de emergencia en las diferentes dependencias.</t>
  </si>
  <si>
    <t>Realizar compra de material para la reparación de carretones del personal de barrido y materiales para taller de mecánica para reparación de unidades recolectoras.</t>
  </si>
  <si>
    <t>Garantizar eficiencia en el servicio de aseo y limpiezade las dependencias a cargo y de toda las zonas que se presta el servicio.</t>
  </si>
  <si>
    <t>Optimizar servicio de aseo</t>
  </si>
  <si>
    <t>Santa Ana Limpia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</si>
</sst>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8" formatCode="&quot;$&quot;#,##0.00;[Red]\-&quot;$&quot;#,##0.00"/>
    <numFmt numFmtId="164" formatCode="_(&quot;$&quot;* #,##0.00_);_(&quot;$&quot;* \(#,##0.00\);_(&quot;$&quot;* &quot;-&quot;??_);_(@_)"/>
    <numFmt numFmtId="165" formatCode="0.0"/>
    <numFmt numFmtId="166" formatCode="_(&quot;$&quot;* #,##0_);_(&quot;$&quot;* \(#,##0\);_(&quot;$&quot;* &quot;-&quot;??_);_(@_)"/>
  </numFmts>
  <fonts count="20" x14ac:knownFonts="1">
    <font>
      <sz val="11"/>
      <color theme="1"/>
      <name val="Calibri"/>
      <family val="2"/>
      <scheme val="minor"/>
    </font>
    <font>
      <b/>
      <sz val="11"/>
      <color theme="1"/>
      <name val="Calibri"/>
      <family val="2"/>
      <scheme val="minor"/>
    </font>
    <font>
      <sz val="11"/>
      <color theme="1"/>
      <name val="Calibri"/>
      <family val="2"/>
      <scheme val="minor"/>
    </font>
    <font>
      <sz val="10"/>
      <color theme="1"/>
      <name val="Times New Roman"/>
      <family val="1"/>
    </font>
    <font>
      <b/>
      <sz val="10"/>
      <color theme="1"/>
      <name val="Times New Roman"/>
      <family val="1"/>
    </font>
    <font>
      <b/>
      <sz val="16"/>
      <color theme="1"/>
      <name val="Times New Roman"/>
      <family val="1"/>
    </font>
    <font>
      <sz val="10"/>
      <color rgb="FFFF0000"/>
      <name val="Calibri"/>
      <family val="2"/>
      <scheme val="minor"/>
    </font>
    <font>
      <b/>
      <sz val="10"/>
      <color theme="0"/>
      <name val="Times New Roman"/>
      <family val="1"/>
    </font>
    <font>
      <sz val="12"/>
      <color theme="0"/>
      <name val="Times New Roman"/>
      <family val="1"/>
    </font>
    <font>
      <b/>
      <sz val="10"/>
      <color theme="8" tint="-0.249977111117893"/>
      <name val="Times New Roman"/>
      <family val="1"/>
    </font>
    <font>
      <b/>
      <sz val="10"/>
      <color theme="5" tint="0.39997558519241921"/>
      <name val="Times New Roman"/>
      <family val="1"/>
    </font>
    <font>
      <b/>
      <sz val="10"/>
      <color theme="5" tint="-0.249977111117893"/>
      <name val="Times New Roman"/>
      <family val="1"/>
    </font>
    <font>
      <sz val="10"/>
      <color theme="0"/>
      <name val="Times New Roman"/>
      <family val="1"/>
    </font>
    <font>
      <b/>
      <sz val="14"/>
      <color theme="0"/>
      <name val="Times New Roman"/>
      <family val="1"/>
    </font>
    <font>
      <b/>
      <sz val="9"/>
      <color indexed="81"/>
      <name val="Tahoma"/>
      <family val="2"/>
    </font>
    <font>
      <sz val="9"/>
      <color indexed="81"/>
      <name val="Tahoma"/>
      <family val="2"/>
    </font>
    <font>
      <sz val="8"/>
      <name val="Calibri"/>
      <family val="2"/>
      <scheme val="minor"/>
    </font>
    <font>
      <b/>
      <sz val="16"/>
      <color theme="1"/>
      <name val="Calibri"/>
      <family val="2"/>
      <scheme val="minor"/>
    </font>
    <font>
      <sz val="16"/>
      <color theme="1"/>
      <name val="Calibri"/>
      <family val="2"/>
      <scheme val="minor"/>
    </font>
    <font>
      <sz val="10"/>
      <color rgb="FF000000"/>
      <name val="Times New Roman"/>
      <family val="1"/>
    </font>
  </fonts>
  <fills count="24">
    <fill>
      <patternFill patternType="none"/>
    </fill>
    <fill>
      <patternFill patternType="gray125"/>
    </fill>
    <fill>
      <patternFill patternType="solid">
        <fgColor theme="3"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249977111117893"/>
        <bgColor indexed="64"/>
      </patternFill>
    </fill>
    <fill>
      <patternFill patternType="solid">
        <fgColor rgb="FF00B050"/>
        <bgColor indexed="64"/>
      </patternFill>
    </fill>
    <fill>
      <patternFill patternType="solid">
        <fgColor theme="8" tint="-0.499984740745262"/>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rgb="FFC00000"/>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0"/>
        <bgColor indexed="64"/>
      </patternFill>
    </fill>
    <fill>
      <patternFill patternType="solid">
        <fgColor theme="1" tint="0.34998626667073579"/>
        <bgColor indexed="64"/>
      </patternFill>
    </fill>
    <fill>
      <patternFill patternType="solid">
        <fgColor rgb="FF00B0F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theme="0" tint="-0.14996795556505021"/>
      </left>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medium">
        <color theme="0" tint="-0.14996795556505021"/>
      </left>
      <right style="medium">
        <color theme="0" tint="-0.14996795556505021"/>
      </right>
      <top style="medium">
        <color theme="0" tint="-0.14996795556505021"/>
      </top>
      <bottom/>
      <diagonal/>
    </border>
    <border>
      <left/>
      <right style="medium">
        <color theme="0" tint="-0.14996795556505021"/>
      </right>
      <top style="medium">
        <color theme="0" tint="-0.14996795556505021"/>
      </top>
      <bottom style="medium">
        <color theme="0" tint="-0.14996795556505021"/>
      </bottom>
      <diagonal/>
    </border>
    <border>
      <left style="medium">
        <color indexed="64"/>
      </left>
      <right style="medium">
        <color indexed="64"/>
      </right>
      <top style="medium">
        <color indexed="64"/>
      </top>
      <bottom/>
      <diagonal/>
    </border>
    <border>
      <left style="medium">
        <color theme="0" tint="-0.14996795556505021"/>
      </left>
      <right/>
      <top style="medium">
        <color theme="0" tint="-0.14996795556505021"/>
      </top>
      <bottom/>
      <diagonal/>
    </border>
    <border>
      <left style="medium">
        <color theme="0" tint="-0.14996795556505021"/>
      </left>
      <right/>
      <top style="medium">
        <color theme="0" tint="-0.14996795556505021"/>
      </top>
      <bottom style="thin">
        <color indexed="64"/>
      </bottom>
      <diagonal/>
    </border>
    <border>
      <left/>
      <right/>
      <top style="medium">
        <color theme="0" tint="-0.14996795556505021"/>
      </top>
      <bottom style="thin">
        <color indexed="64"/>
      </bottom>
      <diagonal/>
    </border>
    <border>
      <left/>
      <right style="medium">
        <color theme="0" tint="-0.14996795556505021"/>
      </right>
      <top style="medium">
        <color theme="0" tint="-0.14996795556505021"/>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theme="9" tint="0.39994506668294322"/>
      </top>
      <bottom style="medium">
        <color theme="9" tint="0.39994506668294322"/>
      </bottom>
      <diagonal/>
    </border>
    <border>
      <left style="medium">
        <color theme="0" tint="-0.14996795556505021"/>
      </left>
      <right style="thin">
        <color indexed="64"/>
      </right>
      <top style="thin">
        <color indexed="64"/>
      </top>
      <bottom style="medium">
        <color theme="0" tint="-0.14996795556505021"/>
      </bottom>
      <diagonal/>
    </border>
    <border>
      <left style="thin">
        <color indexed="64"/>
      </left>
      <right style="thin">
        <color indexed="64"/>
      </right>
      <top style="thin">
        <color indexed="64"/>
      </top>
      <bottom style="medium">
        <color theme="0" tint="-0.14996795556505021"/>
      </bottom>
      <diagonal/>
    </border>
    <border>
      <left style="thin">
        <color indexed="64"/>
      </left>
      <right style="medium">
        <color theme="0" tint="-0.14996795556505021"/>
      </right>
      <top style="thin">
        <color indexed="64"/>
      </top>
      <bottom style="medium">
        <color theme="0" tint="-0.14996795556505021"/>
      </bottom>
      <diagonal/>
    </border>
    <border>
      <left style="medium">
        <color theme="0" tint="-0.14996795556505021"/>
      </left>
      <right style="medium">
        <color theme="0" tint="-0.14996795556505021"/>
      </right>
      <top style="medium">
        <color theme="0" tint="-0.14996795556505021"/>
      </top>
      <bottom style="medium">
        <color theme="0" tint="-0.14993743705557422"/>
      </bottom>
      <diagonal/>
    </border>
    <border>
      <left style="medium">
        <color theme="0" tint="-0.14996795556505021"/>
      </left>
      <right/>
      <top style="medium">
        <color theme="0" tint="-0.14996795556505021"/>
      </top>
      <bottom style="medium">
        <color theme="0" tint="-0.14993743705557422"/>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style="thin">
        <color indexed="64"/>
      </left>
      <right style="medium">
        <color theme="0" tint="-0.14996795556505021"/>
      </right>
      <top/>
      <bottom/>
      <diagonal/>
    </border>
    <border>
      <left style="thin">
        <color indexed="64"/>
      </left>
      <right style="medium">
        <color theme="0" tint="-0.14996795556505021"/>
      </right>
      <top/>
      <bottom style="thin">
        <color indexed="64"/>
      </bottom>
      <diagonal/>
    </border>
    <border>
      <left style="medium">
        <color indexed="64"/>
      </left>
      <right/>
      <top style="medium">
        <color theme="0" tint="-0.14996795556505021"/>
      </top>
      <bottom style="medium">
        <color theme="0" tint="-0.14996795556505021"/>
      </bottom>
      <diagonal/>
    </border>
    <border>
      <left/>
      <right style="thin">
        <color indexed="64"/>
      </right>
      <top/>
      <bottom/>
      <diagonal/>
    </border>
    <border>
      <left/>
      <right/>
      <top/>
      <bottom style="thin">
        <color indexed="64"/>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112">
    <xf numFmtId="0" fontId="0" fillId="0" borderId="0" xfId="0"/>
    <xf numFmtId="0" fontId="0" fillId="0" borderId="0" xfId="0" applyAlignment="1">
      <alignment horizontal="center"/>
    </xf>
    <xf numFmtId="0" fontId="0" fillId="0" borderId="0" xfId="0" applyAlignment="1">
      <alignment horizontal="center" vertical="center"/>
    </xf>
    <xf numFmtId="0" fontId="3" fillId="0" borderId="0" xfId="0" applyFont="1"/>
    <xf numFmtId="0" fontId="4" fillId="0" borderId="0" xfId="0" applyFont="1"/>
    <xf numFmtId="0" fontId="5" fillId="0" borderId="0" xfId="0" applyFont="1"/>
    <xf numFmtId="0" fontId="4" fillId="0" borderId="0" xfId="0" applyFont="1" applyAlignment="1">
      <alignment horizontal="center" vertical="center"/>
    </xf>
    <xf numFmtId="0" fontId="3" fillId="0" borderId="0" xfId="0" applyFont="1" applyAlignment="1" applyProtection="1">
      <alignment horizontal="left" vertical="center"/>
      <protection locked="0"/>
    </xf>
    <xf numFmtId="0" fontId="3" fillId="0" borderId="0" xfId="0" applyFont="1" applyAlignment="1">
      <alignment vertical="center"/>
    </xf>
    <xf numFmtId="0" fontId="3" fillId="0" borderId="0" xfId="0" applyFont="1" applyAlignment="1">
      <alignment vertical="center" wrapText="1"/>
    </xf>
    <xf numFmtId="0" fontId="4"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9" fontId="3" fillId="0" borderId="0" xfId="2" applyFont="1" applyBorder="1" applyAlignment="1">
      <alignment horizontal="center" vertical="center"/>
    </xf>
    <xf numFmtId="9" fontId="0" fillId="0" borderId="0" xfId="0" applyNumberFormat="1"/>
    <xf numFmtId="165" fontId="0" fillId="0" borderId="0" xfId="0" applyNumberFormat="1"/>
    <xf numFmtId="0" fontId="7" fillId="11" borderId="8" xfId="0" applyFont="1" applyFill="1" applyBorder="1" applyAlignment="1">
      <alignment vertical="center" wrapText="1"/>
    </xf>
    <xf numFmtId="0" fontId="7" fillId="11" borderId="8" xfId="0" applyFont="1" applyFill="1" applyBorder="1" applyAlignment="1">
      <alignment vertical="center"/>
    </xf>
    <xf numFmtId="0" fontId="7" fillId="11" borderId="9" xfId="0" applyFont="1" applyFill="1" applyBorder="1" applyAlignment="1">
      <alignment vertical="center" wrapText="1"/>
    </xf>
    <xf numFmtId="0" fontId="7" fillId="11" borderId="4" xfId="0" applyFont="1" applyFill="1" applyBorder="1" applyAlignment="1">
      <alignment vertical="center"/>
    </xf>
    <xf numFmtId="9" fontId="7" fillId="12" borderId="13" xfId="2" applyFont="1" applyFill="1" applyBorder="1" applyAlignment="1">
      <alignment horizontal="center" vertical="center" wrapText="1"/>
    </xf>
    <xf numFmtId="9" fontId="7" fillId="14" borderId="13" xfId="2" applyFont="1" applyFill="1" applyBorder="1" applyAlignment="1">
      <alignment horizontal="center" vertical="center" wrapText="1"/>
    </xf>
    <xf numFmtId="9" fontId="7" fillId="15" borderId="15" xfId="2" applyFont="1" applyFill="1" applyBorder="1" applyAlignment="1">
      <alignment horizontal="center" vertical="center" wrapText="1"/>
    </xf>
    <xf numFmtId="9" fontId="7" fillId="14" borderId="16" xfId="2" applyFont="1" applyFill="1" applyBorder="1" applyAlignment="1">
      <alignment horizontal="center" vertical="center" wrapText="1"/>
    </xf>
    <xf numFmtId="9" fontId="9" fillId="8" borderId="13" xfId="2" applyFont="1" applyFill="1" applyBorder="1" applyAlignment="1">
      <alignment horizontal="center" vertical="center" wrapText="1"/>
    </xf>
    <xf numFmtId="9" fontId="10" fillId="13" borderId="13" xfId="2" applyFont="1" applyFill="1" applyBorder="1" applyAlignment="1">
      <alignment horizontal="center" vertical="center" wrapText="1"/>
    </xf>
    <xf numFmtId="9" fontId="10" fillId="13" borderId="16" xfId="2" applyFont="1" applyFill="1" applyBorder="1" applyAlignment="1">
      <alignment horizontal="center" vertical="center" wrapText="1"/>
    </xf>
    <xf numFmtId="0" fontId="7" fillId="11" borderId="22" xfId="0" applyFont="1" applyFill="1" applyBorder="1" applyAlignment="1">
      <alignment horizontal="center" vertical="center" textRotation="90"/>
    </xf>
    <xf numFmtId="0" fontId="7" fillId="11" borderId="23" xfId="0" applyFont="1" applyFill="1" applyBorder="1" applyAlignment="1">
      <alignment horizontal="center" vertical="center" textRotation="90"/>
    </xf>
    <xf numFmtId="0" fontId="12" fillId="11" borderId="24" xfId="0" applyFont="1" applyFill="1" applyBorder="1" applyAlignment="1">
      <alignment horizontal="center" vertical="center" wrapText="1"/>
    </xf>
    <xf numFmtId="9" fontId="7" fillId="8" borderId="25" xfId="2" applyFont="1" applyFill="1" applyBorder="1" applyAlignment="1">
      <alignment horizontal="center" vertical="center" wrapText="1"/>
    </xf>
    <xf numFmtId="9" fontId="7" fillId="13" borderId="25" xfId="2" applyFont="1" applyFill="1" applyBorder="1" applyAlignment="1">
      <alignment horizontal="center" vertical="center" wrapText="1"/>
    </xf>
    <xf numFmtId="9" fontId="7" fillId="13" borderId="26" xfId="2" applyFont="1" applyFill="1" applyBorder="1" applyAlignment="1">
      <alignment horizontal="center" vertical="center" wrapText="1"/>
    </xf>
    <xf numFmtId="0" fontId="1" fillId="17" borderId="15"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9" fontId="3" fillId="0" borderId="10" xfId="2" applyFont="1" applyFill="1" applyBorder="1" applyAlignment="1" applyProtection="1">
      <alignment horizontal="center" vertical="center"/>
      <protection locked="0"/>
    </xf>
    <xf numFmtId="9" fontId="3" fillId="0" borderId="10" xfId="2"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164" fontId="0" fillId="0" borderId="29" xfId="1" applyFont="1" applyBorder="1" applyProtection="1">
      <protection locked="0"/>
    </xf>
    <xf numFmtId="0" fontId="3" fillId="15" borderId="2" xfId="0" applyFont="1" applyFill="1" applyBorder="1" applyAlignment="1">
      <alignment horizontal="center" vertical="center"/>
    </xf>
    <xf numFmtId="0" fontId="7" fillId="11" borderId="2" xfId="0" applyFont="1" applyFill="1" applyBorder="1" applyAlignment="1">
      <alignment vertical="center" wrapText="1"/>
    </xf>
    <xf numFmtId="0" fontId="7" fillId="11" borderId="3" xfId="0" applyFont="1" applyFill="1" applyBorder="1" applyAlignment="1">
      <alignment vertical="center" wrapText="1"/>
    </xf>
    <xf numFmtId="0" fontId="7" fillId="11" borderId="7" xfId="0" applyFont="1" applyFill="1" applyBorder="1" applyAlignment="1">
      <alignment vertical="center" wrapText="1"/>
    </xf>
    <xf numFmtId="0" fontId="3" fillId="0" borderId="1" xfId="0" applyFont="1" applyBorder="1" applyAlignment="1">
      <alignment horizontal="center" vertical="center" wrapText="1"/>
    </xf>
    <xf numFmtId="9" fontId="3" fillId="6" borderId="10" xfId="2" applyFont="1" applyFill="1" applyBorder="1" applyAlignment="1">
      <alignment horizontal="center" vertical="center"/>
    </xf>
    <xf numFmtId="0" fontId="4" fillId="7" borderId="0" xfId="0" applyFont="1" applyFill="1" applyAlignment="1">
      <alignment vertical="center"/>
    </xf>
    <xf numFmtId="0" fontId="4" fillId="5" borderId="0" xfId="0" applyFont="1" applyFill="1" applyAlignment="1">
      <alignment vertical="center"/>
    </xf>
    <xf numFmtId="0" fontId="4" fillId="2" borderId="0" xfId="0" applyFont="1" applyFill="1" applyAlignment="1">
      <alignment vertical="center"/>
    </xf>
    <xf numFmtId="0" fontId="3" fillId="21" borderId="1" xfId="0" applyFont="1" applyFill="1" applyBorder="1" applyAlignment="1" applyProtection="1">
      <alignment horizontal="center" vertical="center" wrapText="1"/>
      <protection locked="0"/>
    </xf>
    <xf numFmtId="166" fontId="0" fillId="16" borderId="15" xfId="0" applyNumberFormat="1" applyFill="1" applyBorder="1"/>
    <xf numFmtId="6" fontId="0" fillId="0" borderId="29" xfId="1" applyNumberFormat="1" applyFont="1" applyBorder="1" applyProtection="1">
      <protection locked="0"/>
    </xf>
    <xf numFmtId="0" fontId="6" fillId="0" borderId="0" xfId="0" applyFont="1" applyAlignment="1">
      <alignment vertical="center" wrapText="1"/>
    </xf>
    <xf numFmtId="0" fontId="6" fillId="0" borderId="0" xfId="0" applyFont="1" applyAlignment="1">
      <alignment vertical="center"/>
    </xf>
    <xf numFmtId="0" fontId="7" fillId="11" borderId="4" xfId="0" applyFont="1" applyFill="1" applyBorder="1"/>
    <xf numFmtId="0" fontId="7" fillId="11" borderId="0" xfId="0" applyFont="1" applyFill="1"/>
    <xf numFmtId="0" fontId="7" fillId="8" borderId="11" xfId="0" applyFont="1" applyFill="1" applyBorder="1"/>
    <xf numFmtId="0" fontId="7" fillId="8" borderId="12" xfId="0" applyFont="1" applyFill="1" applyBorder="1"/>
    <xf numFmtId="0" fontId="7" fillId="8" borderId="14" xfId="0" applyFont="1" applyFill="1" applyBorder="1"/>
    <xf numFmtId="0" fontId="7" fillId="13" borderId="11" xfId="0" applyFont="1" applyFill="1" applyBorder="1"/>
    <xf numFmtId="0" fontId="7" fillId="13" borderId="12" xfId="0" applyFont="1" applyFill="1" applyBorder="1"/>
    <xf numFmtId="0" fontId="7" fillId="13" borderId="14" xfId="0" applyFont="1" applyFill="1" applyBorder="1"/>
    <xf numFmtId="0" fontId="7" fillId="8" borderId="32" xfId="0" applyFont="1" applyFill="1" applyBorder="1"/>
    <xf numFmtId="0" fontId="7" fillId="11" borderId="30" xfId="0" applyFont="1" applyFill="1" applyBorder="1" applyAlignment="1">
      <alignment vertical="center" wrapText="1"/>
    </xf>
    <xf numFmtId="0" fontId="7" fillId="10" borderId="17" xfId="0" applyFont="1" applyFill="1" applyBorder="1"/>
    <xf numFmtId="0" fontId="7" fillId="10" borderId="18" xfId="0" applyFont="1" applyFill="1" applyBorder="1"/>
    <xf numFmtId="0" fontId="7" fillId="10" borderId="19" xfId="0" applyFont="1" applyFill="1" applyBorder="1"/>
    <xf numFmtId="0" fontId="7" fillId="11" borderId="10" xfId="0" applyFont="1" applyFill="1" applyBorder="1" applyAlignment="1">
      <alignment vertical="center" wrapText="1"/>
    </xf>
    <xf numFmtId="0" fontId="7" fillId="11" borderId="31" xfId="0" applyFont="1" applyFill="1" applyBorder="1" applyAlignment="1">
      <alignment vertical="center" wrapText="1"/>
    </xf>
    <xf numFmtId="9" fontId="4" fillId="3" borderId="10" xfId="2" applyFont="1" applyFill="1" applyBorder="1" applyAlignment="1">
      <alignment horizontal="center" vertical="center" wrapText="1"/>
    </xf>
    <xf numFmtId="0" fontId="3" fillId="22" borderId="1" xfId="0" applyFont="1" applyFill="1" applyBorder="1" applyAlignment="1" applyProtection="1">
      <alignment horizontal="center" vertical="center"/>
      <protection locked="0"/>
    </xf>
    <xf numFmtId="9" fontId="3" fillId="18" borderId="10" xfId="2" applyFont="1" applyFill="1" applyBorder="1" applyAlignment="1">
      <alignment horizontal="center" vertical="center" wrapText="1"/>
    </xf>
    <xf numFmtId="9" fontId="0" fillId="19" borderId="28" xfId="2" applyFont="1" applyFill="1" applyBorder="1" applyAlignment="1">
      <alignment horizontal="center" vertical="center" wrapText="1"/>
    </xf>
    <xf numFmtId="9" fontId="0" fillId="4" borderId="15" xfId="2" applyFont="1" applyFill="1" applyBorder="1" applyAlignment="1">
      <alignment horizontal="center" vertical="center" wrapText="1"/>
    </xf>
    <xf numFmtId="9" fontId="3" fillId="20" borderId="10" xfId="2" applyFont="1" applyFill="1" applyBorder="1" applyAlignment="1">
      <alignment horizontal="center" vertical="center" wrapText="1"/>
    </xf>
    <xf numFmtId="9" fontId="3" fillId="19" borderId="10" xfId="2" applyFont="1" applyFill="1" applyBorder="1" applyAlignment="1">
      <alignment horizontal="center" vertical="center" wrapText="1"/>
    </xf>
    <xf numFmtId="9" fontId="3" fillId="4" borderId="10" xfId="2" applyFont="1" applyFill="1" applyBorder="1" applyAlignment="1">
      <alignment horizontal="center" vertical="center" wrapText="1"/>
    </xf>
    <xf numFmtId="9" fontId="12" fillId="11" borderId="10" xfId="2" applyFont="1" applyFill="1" applyBorder="1" applyAlignment="1">
      <alignment horizontal="center" vertical="center" wrapText="1"/>
    </xf>
    <xf numFmtId="1" fontId="3" fillId="0" borderId="10" xfId="0" applyNumberFormat="1" applyFont="1" applyBorder="1" applyAlignment="1" applyProtection="1">
      <alignment horizontal="center" vertical="center"/>
      <protection locked="0"/>
    </xf>
    <xf numFmtId="9" fontId="11" fillId="9" borderId="20" xfId="2" applyFont="1" applyFill="1" applyBorder="1" applyAlignment="1">
      <alignment horizontal="center" vertical="center" wrapText="1"/>
    </xf>
    <xf numFmtId="0" fontId="7" fillId="9" borderId="20" xfId="0" applyFont="1" applyFill="1" applyBorder="1" applyAlignment="1">
      <alignment horizontal="center" vertical="center" wrapText="1"/>
    </xf>
    <xf numFmtId="9" fontId="8" fillId="23" borderId="15" xfId="2" applyFont="1" applyFill="1" applyBorder="1" applyAlignment="1">
      <alignment horizontal="center" wrapText="1"/>
    </xf>
    <xf numFmtId="0" fontId="13" fillId="23" borderId="20" xfId="0" applyFont="1" applyFill="1" applyBorder="1" applyAlignment="1">
      <alignment horizontal="center" vertical="center" wrapText="1"/>
    </xf>
    <xf numFmtId="9" fontId="8" fillId="23" borderId="21" xfId="2" applyFont="1" applyFill="1" applyBorder="1" applyAlignment="1">
      <alignment horizontal="center" wrapText="1"/>
    </xf>
    <xf numFmtId="1" fontId="3" fillId="0" borderId="1" xfId="0" applyNumberFormat="1" applyFont="1" applyBorder="1" applyAlignment="1" applyProtection="1">
      <alignment horizontal="center" vertical="center"/>
      <protection locked="0"/>
    </xf>
    <xf numFmtId="0" fontId="19" fillId="0" borderId="1" xfId="0" applyFont="1" applyBorder="1" applyAlignment="1">
      <alignment horizontal="justify" vertical="center"/>
    </xf>
    <xf numFmtId="0" fontId="19" fillId="0" borderId="1" xfId="0" applyFont="1" applyBorder="1" applyAlignment="1">
      <alignment vertical="center" wrapText="1"/>
    </xf>
    <xf numFmtId="0" fontId="3" fillId="0" borderId="1" xfId="0" applyFont="1" applyBorder="1" applyAlignment="1" applyProtection="1">
      <alignment vertical="center" wrapText="1"/>
      <protection locked="0"/>
    </xf>
    <xf numFmtId="8" fontId="0" fillId="0" borderId="27" xfId="1" applyNumberFormat="1" applyFont="1" applyBorder="1" applyProtection="1">
      <protection locked="0"/>
    </xf>
    <xf numFmtId="8" fontId="0" fillId="0" borderId="29" xfId="1" applyNumberFormat="1" applyFont="1" applyBorder="1" applyProtection="1">
      <protection locked="0"/>
    </xf>
    <xf numFmtId="0" fontId="19" fillId="0" borderId="1" xfId="0" applyFont="1" applyBorder="1" applyAlignment="1">
      <alignment horizontal="center" vertical="center" wrapText="1"/>
    </xf>
    <xf numFmtId="0" fontId="3" fillId="21" borderId="8" xfId="0" applyFont="1" applyFill="1" applyBorder="1" applyAlignment="1" applyProtection="1">
      <alignment vertical="center" wrapText="1"/>
      <protection locked="0"/>
    </xf>
    <xf numFmtId="0" fontId="3" fillId="21" borderId="9" xfId="0" applyFont="1" applyFill="1" applyBorder="1" applyAlignment="1" applyProtection="1">
      <alignment vertical="center" wrapText="1"/>
      <protection locked="0"/>
    </xf>
    <xf numFmtId="0" fontId="3" fillId="21" borderId="10" xfId="0" applyFont="1" applyFill="1" applyBorder="1" applyAlignment="1" applyProtection="1">
      <alignment vertical="center" wrapText="1"/>
      <protection locked="0"/>
    </xf>
    <xf numFmtId="0" fontId="7" fillId="0" borderId="10" xfId="0" applyFont="1" applyBorder="1" applyAlignment="1">
      <alignment vertical="center" wrapText="1"/>
    </xf>
    <xf numFmtId="164" fontId="0" fillId="16" borderId="15" xfId="0" applyNumberFormat="1" applyFill="1" applyBorder="1"/>
    <xf numFmtId="0" fontId="17" fillId="0" borderId="4" xfId="0" applyFont="1" applyBorder="1" applyAlignment="1">
      <alignment horizontal="left" vertical="top" wrapText="1"/>
    </xf>
    <xf numFmtId="0" fontId="17" fillId="0" borderId="0" xfId="0" applyFont="1" applyAlignment="1">
      <alignment horizontal="left" vertical="top" wrapText="1"/>
    </xf>
    <xf numFmtId="0" fontId="17" fillId="0" borderId="33" xfId="0" applyFont="1" applyBorder="1" applyAlignment="1">
      <alignment horizontal="left" vertical="top" wrapText="1"/>
    </xf>
    <xf numFmtId="0" fontId="17" fillId="0" borderId="5" xfId="0" applyFont="1" applyBorder="1" applyAlignment="1">
      <alignment horizontal="left" vertical="top" wrapText="1"/>
    </xf>
    <xf numFmtId="0" fontId="17" fillId="0" borderId="34" xfId="0" applyFont="1" applyBorder="1" applyAlignment="1">
      <alignment horizontal="left" vertical="top" wrapText="1"/>
    </xf>
    <xf numFmtId="0" fontId="17" fillId="0" borderId="6" xfId="0" applyFont="1" applyBorder="1" applyAlignment="1">
      <alignment horizontal="left" vertical="top" wrapText="1"/>
    </xf>
    <xf numFmtId="0" fontId="18" fillId="0" borderId="4"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3" fillId="0" borderId="8"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21" borderId="1" xfId="0" applyFont="1" applyFill="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cellXfs>
  <cellStyles count="3">
    <cellStyle name="Moneda" xfId="1" builtinId="4"/>
    <cellStyle name="Normal" xfId="0" builtinId="0"/>
    <cellStyle name="Porcentaje" xfId="2" builtinId="5"/>
  </cellStyles>
  <dxfs count="0"/>
  <tableStyles count="0" defaultTableStyle="TableStyleMedium2" defaultPivotStyle="PivotStyleLight16"/>
  <colors>
    <mruColors>
      <color rgb="FF990000"/>
      <color rgb="FFFFFFCC"/>
      <color rgb="FFFF0000"/>
      <color rgb="FF7FE4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254000</xdr:colOff>
      <xdr:row>3</xdr:row>
      <xdr:rowOff>190500</xdr:rowOff>
    </xdr:from>
    <xdr:ext cx="17653000" cy="301625"/>
    <xdr:sp macro="" textlink="">
      <xdr:nvSpPr>
        <xdr:cNvPr id="5" name="CuadroTexto 4">
          <a:extLst>
            <a:ext uri="{FF2B5EF4-FFF2-40B4-BE49-F238E27FC236}">
              <a16:creationId xmlns:a16="http://schemas.microsoft.com/office/drawing/2014/main" id="{728119E7-9FD5-8C9D-EB79-76E4F9635D7D}"/>
            </a:ext>
          </a:extLst>
        </xdr:cNvPr>
        <xdr:cNvSpPr txBox="1"/>
      </xdr:nvSpPr>
      <xdr:spPr>
        <a:xfrm>
          <a:off x="301625" y="904875"/>
          <a:ext cx="17653000" cy="301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SV" sz="1600" b="1"/>
            <a:t>UNIDAD: GERENCIA DE DESECHOS SOLIDOS</a:t>
          </a:r>
        </a:p>
      </xdr:txBody>
    </xdr:sp>
    <xdr:clientData/>
  </xdr:oneCellAnchor>
  <xdr:oneCellAnchor>
    <xdr:from>
      <xdr:col>1</xdr:col>
      <xdr:colOff>222249</xdr:colOff>
      <xdr:row>4</xdr:row>
      <xdr:rowOff>214312</xdr:rowOff>
    </xdr:from>
    <xdr:ext cx="11719720" cy="702469"/>
    <xdr:sp macro="" textlink="">
      <xdr:nvSpPr>
        <xdr:cNvPr id="6" name="CuadroTexto 5">
          <a:extLst>
            <a:ext uri="{FF2B5EF4-FFF2-40B4-BE49-F238E27FC236}">
              <a16:creationId xmlns:a16="http://schemas.microsoft.com/office/drawing/2014/main" id="{1CEF75E7-5349-46BA-9E2A-F9774328AF00}"/>
            </a:ext>
          </a:extLst>
        </xdr:cNvPr>
        <xdr:cNvSpPr txBox="1"/>
      </xdr:nvSpPr>
      <xdr:spPr>
        <a:xfrm>
          <a:off x="269874" y="1143000"/>
          <a:ext cx="11719720" cy="70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SV" sz="1600" b="1"/>
            <a:t>OBJETIVO ESTRATÉGICO: </a:t>
          </a:r>
          <a:r>
            <a:rPr lang="es-ES" sz="1100">
              <a:solidFill>
                <a:schemeClr val="tx1"/>
              </a:solidFill>
              <a:effectLst/>
              <a:latin typeface="+mn-lt"/>
              <a:ea typeface="+mn-ea"/>
              <a:cs typeface="+mn-cs"/>
            </a:rPr>
            <a:t>Convertir a Santa Ana Centro, en una ciudad limpia, por medio de una planificación eficiente de los recursos existentes; a través de equipo y herramientas que mejoren el servicio de aseo dentro del municipio. Integrando a la sociedad civil, por medio de ordenanzas municipales que permitan educar y responsabilizar a los ciudadanos en la limpieza y respeto a los espacios públicos.</a:t>
          </a:r>
          <a:endParaRPr lang="es-SV" sz="1100">
            <a:solidFill>
              <a:schemeClr val="tx1"/>
            </a:solidFill>
            <a:effectLst/>
            <a:latin typeface="+mn-lt"/>
            <a:ea typeface="+mn-ea"/>
            <a:cs typeface="+mn-cs"/>
          </a:endParaRPr>
        </a:p>
        <a:p>
          <a:endParaRPr lang="es-SV" sz="1600" b="1"/>
        </a:p>
      </xdr:txBody>
    </xdr:sp>
    <xdr:clientData/>
  </xdr:oneCellAnchor>
  <xdr:oneCellAnchor>
    <xdr:from>
      <xdr:col>1</xdr:col>
      <xdr:colOff>210342</xdr:colOff>
      <xdr:row>5</xdr:row>
      <xdr:rowOff>654843</xdr:rowOff>
    </xdr:from>
    <xdr:ext cx="11731627" cy="535782"/>
    <xdr:sp macro="" textlink="">
      <xdr:nvSpPr>
        <xdr:cNvPr id="7" name="CuadroTexto 6">
          <a:extLst>
            <a:ext uri="{FF2B5EF4-FFF2-40B4-BE49-F238E27FC236}">
              <a16:creationId xmlns:a16="http://schemas.microsoft.com/office/drawing/2014/main" id="{39EBEECA-6752-4123-BB4B-7A42E4EE17D9}"/>
            </a:ext>
          </a:extLst>
        </xdr:cNvPr>
        <xdr:cNvSpPr txBox="1"/>
      </xdr:nvSpPr>
      <xdr:spPr>
        <a:xfrm>
          <a:off x="257967" y="1833562"/>
          <a:ext cx="11731627" cy="535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SV" sz="1600" b="1"/>
            <a:t>OBJETIVO DE LA UNIDAD: </a:t>
          </a:r>
          <a:r>
            <a:rPr lang="es-ES" sz="1100">
              <a:solidFill>
                <a:schemeClr val="tx1"/>
              </a:solidFill>
              <a:effectLst/>
              <a:latin typeface="+mn-lt"/>
              <a:ea typeface="+mn-ea"/>
              <a:cs typeface="+mn-cs"/>
            </a:rPr>
            <a:t>Implementar un sistema de manejo integral y disposición final de desechos sólidos, en forma asociativa con la participación ciudadana, mediante la recolección diferenciada de desechos, mejorando la calidad de servicio, la imagen y limpieza de las áreas municipales. </a:t>
          </a:r>
          <a:endParaRPr lang="es-SV" sz="1100">
            <a:solidFill>
              <a:schemeClr val="tx1"/>
            </a:solidFill>
            <a:effectLst/>
            <a:latin typeface="+mn-lt"/>
            <a:ea typeface="+mn-ea"/>
            <a:cs typeface="+mn-cs"/>
          </a:endParaRPr>
        </a:p>
        <a:p>
          <a:endParaRPr lang="es-SV" sz="1600" b="1"/>
        </a:p>
      </xdr:txBody>
    </xdr:sp>
    <xdr:clientData/>
  </xdr:oneCellAnchor>
  <xdr:twoCellAnchor editAs="oneCell">
    <xdr:from>
      <xdr:col>17</xdr:col>
      <xdr:colOff>523875</xdr:colOff>
      <xdr:row>1</xdr:row>
      <xdr:rowOff>211565</xdr:rowOff>
    </xdr:from>
    <xdr:to>
      <xdr:col>18</xdr:col>
      <xdr:colOff>762000</xdr:colOff>
      <xdr:row>5</xdr:row>
      <xdr:rowOff>500063</xdr:rowOff>
    </xdr:to>
    <xdr:pic>
      <xdr:nvPicPr>
        <xdr:cNvPr id="3" name="Imagen 2">
          <a:extLst>
            <a:ext uri="{FF2B5EF4-FFF2-40B4-BE49-F238E27FC236}">
              <a16:creationId xmlns:a16="http://schemas.microsoft.com/office/drawing/2014/main" id="{279BC971-6ACF-AAC8-B67C-B6176EE9F848}"/>
            </a:ext>
          </a:extLst>
        </xdr:cNvPr>
        <xdr:cNvPicPr>
          <a:picLocks noChangeAspect="1"/>
        </xdr:cNvPicPr>
      </xdr:nvPicPr>
      <xdr:blipFill rotWithShape="1">
        <a:blip xmlns:r="http://schemas.openxmlformats.org/officeDocument/2006/relationships" r:embed="rId1"/>
        <a:srcRect l="9645" t="16455" r="6773" b="16076"/>
        <a:stretch/>
      </xdr:blipFill>
      <xdr:spPr>
        <a:xfrm>
          <a:off x="20419219" y="402065"/>
          <a:ext cx="1619250" cy="127671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BJ49"/>
  <sheetViews>
    <sheetView showGridLines="0" tabSelected="1" topLeftCell="AL25" zoomScale="80" zoomScaleNormal="80" workbookViewId="0">
      <selection activeCell="BD27" sqref="BD27"/>
    </sheetView>
  </sheetViews>
  <sheetFormatPr baseColWidth="10" defaultColWidth="11.42578125" defaultRowHeight="15" x14ac:dyDescent="0.25"/>
  <cols>
    <col min="1" max="1" width="0.7109375" customWidth="1"/>
    <col min="2" max="2" width="4.28515625" customWidth="1"/>
    <col min="3" max="5" width="44.7109375" customWidth="1"/>
    <col min="6" max="6" width="25.42578125" customWidth="1"/>
    <col min="7" max="8" width="5.5703125" customWidth="1"/>
    <col min="9" max="9" width="19.7109375" customWidth="1"/>
    <col min="10" max="10" width="20.7109375" customWidth="1"/>
    <col min="11" max="11" width="5.140625" customWidth="1"/>
    <col min="12" max="12" width="5.5703125" customWidth="1"/>
    <col min="13" max="13" width="19.140625" customWidth="1"/>
    <col min="14" max="14" width="20.7109375" customWidth="1"/>
    <col min="15" max="15" width="4.85546875" customWidth="1"/>
    <col min="16" max="16" width="5.5703125" customWidth="1"/>
    <col min="17" max="17" width="21.85546875" customWidth="1"/>
    <col min="18" max="18" width="20.7109375" customWidth="1"/>
    <col min="19" max="19" width="14.5703125" customWidth="1"/>
    <col min="20" max="20" width="5" customWidth="1"/>
    <col min="21" max="21" width="5.5703125" customWidth="1"/>
    <col min="22" max="22" width="19.5703125" customWidth="1"/>
    <col min="23" max="23" width="20.7109375" customWidth="1"/>
    <col min="24" max="24" width="5.140625" customWidth="1"/>
    <col min="25" max="25" width="5.5703125" customWidth="1"/>
    <col min="26" max="26" width="19" customWidth="1"/>
    <col min="27" max="27" width="20.7109375" customWidth="1"/>
    <col min="28" max="28" width="4.7109375" customWidth="1"/>
    <col min="29" max="29" width="5.5703125" customWidth="1"/>
    <col min="30" max="30" width="18.85546875" customWidth="1"/>
    <col min="31" max="31" width="20.7109375" customWidth="1"/>
    <col min="32" max="32" width="16.140625" customWidth="1"/>
    <col min="33" max="33" width="15.140625" customWidth="1"/>
    <col min="34" max="34" width="5" customWidth="1"/>
    <col min="35" max="35" width="5.7109375" customWidth="1"/>
    <col min="36" max="36" width="18.28515625" customWidth="1"/>
    <col min="37" max="37" width="20.85546875" customWidth="1"/>
    <col min="38" max="38" width="4.85546875" customWidth="1"/>
    <col min="39" max="39" width="5.7109375" customWidth="1"/>
    <col min="40" max="40" width="15.42578125" customWidth="1"/>
    <col min="41" max="41" width="20.85546875" customWidth="1"/>
    <col min="42" max="42" width="5" customWidth="1"/>
    <col min="43" max="43" width="5.7109375" customWidth="1"/>
    <col min="44" max="44" width="15.42578125" customWidth="1"/>
    <col min="45" max="45" width="20.85546875" customWidth="1"/>
    <col min="46" max="46" width="14.140625" customWidth="1"/>
    <col min="47" max="47" width="5" customWidth="1"/>
    <col min="48" max="48" width="5.7109375" customWidth="1"/>
    <col min="49" max="49" width="17.28515625" customWidth="1"/>
    <col min="50" max="50" width="20.85546875" customWidth="1"/>
    <col min="51" max="51" width="5" customWidth="1"/>
    <col min="52" max="52" width="5.42578125" customWidth="1"/>
    <col min="53" max="53" width="15.7109375" customWidth="1"/>
    <col min="54" max="54" width="20.85546875" customWidth="1"/>
    <col min="55" max="56" width="5.7109375" customWidth="1"/>
    <col min="57" max="57" width="17.140625" customWidth="1"/>
    <col min="58" max="58" width="20.85546875" customWidth="1"/>
    <col min="59" max="59" width="14.5703125" customWidth="1"/>
    <col min="60" max="60" width="15.140625" customWidth="1"/>
    <col min="61" max="61" width="21.7109375" customWidth="1"/>
    <col min="62" max="62" width="23" customWidth="1"/>
    <col min="63" max="63" width="3.28515625" customWidth="1"/>
    <col min="67" max="67" width="11.42578125" customWidth="1"/>
  </cols>
  <sheetData>
    <row r="1" spans="2:62" x14ac:dyDescent="0.25">
      <c r="D1" s="3"/>
    </row>
    <row r="2" spans="2:62" ht="21" customHeight="1" x14ac:dyDescent="0.3">
      <c r="B2" s="4"/>
      <c r="C2" s="4"/>
      <c r="D2" s="4"/>
      <c r="E2" s="5" t="s">
        <v>33</v>
      </c>
      <c r="G2" s="5"/>
      <c r="H2" s="5"/>
      <c r="I2" s="5"/>
      <c r="J2" s="5"/>
      <c r="K2" s="5"/>
      <c r="L2" s="5"/>
      <c r="M2" s="5"/>
      <c r="N2" s="5"/>
      <c r="O2" s="5"/>
      <c r="P2" s="5"/>
      <c r="Q2" s="5"/>
      <c r="R2" s="5"/>
      <c r="S2" s="5"/>
      <c r="T2" s="54"/>
      <c r="U2" s="55"/>
      <c r="V2" s="55"/>
      <c r="W2" s="55"/>
      <c r="X2" s="55"/>
      <c r="Y2" s="55"/>
      <c r="Z2" s="55"/>
    </row>
    <row r="3" spans="2:62" ht="20.25" x14ac:dyDescent="0.3">
      <c r="B3" s="4" t="s">
        <v>35</v>
      </c>
      <c r="C3" s="4"/>
      <c r="D3" s="4"/>
      <c r="E3" s="5" t="s">
        <v>34</v>
      </c>
      <c r="G3" s="5"/>
      <c r="H3" s="5"/>
      <c r="I3" s="5"/>
      <c r="J3" s="5"/>
      <c r="K3" s="5"/>
      <c r="L3" s="5"/>
      <c r="M3" s="5"/>
      <c r="N3" s="5"/>
      <c r="O3" s="5"/>
      <c r="P3" s="5"/>
      <c r="Q3" s="5"/>
      <c r="R3" s="5"/>
      <c r="S3" s="5"/>
      <c r="T3" s="55"/>
      <c r="U3" s="55"/>
      <c r="V3" s="55"/>
      <c r="W3" s="55"/>
      <c r="X3" s="55"/>
      <c r="Y3" s="55"/>
      <c r="Z3" s="55"/>
    </row>
    <row r="4" spans="2:62" ht="17.100000000000001" customHeight="1" x14ac:dyDescent="0.25">
      <c r="D4" s="3"/>
      <c r="E4" s="3"/>
      <c r="G4" s="3"/>
      <c r="H4" s="3"/>
      <c r="I4" s="3"/>
      <c r="J4" s="3"/>
      <c r="K4" s="3"/>
      <c r="L4" s="3"/>
      <c r="M4" s="3"/>
      <c r="N4" s="3"/>
      <c r="O4" s="3"/>
      <c r="P4" s="3"/>
      <c r="Q4" s="3"/>
      <c r="R4" s="3"/>
      <c r="S4" s="3"/>
      <c r="T4" s="55"/>
      <c r="U4" s="55"/>
      <c r="V4" s="55"/>
      <c r="W4" s="55"/>
      <c r="X4" s="55"/>
      <c r="Y4" s="55"/>
      <c r="Z4" s="55"/>
    </row>
    <row r="5" spans="2:62" ht="20.100000000000001" customHeight="1" x14ac:dyDescent="0.25">
      <c r="B5" s="6">
        <v>1</v>
      </c>
      <c r="C5" s="48"/>
      <c r="D5" s="48"/>
      <c r="E5" s="48"/>
      <c r="F5" s="48"/>
      <c r="G5" s="48"/>
      <c r="H5" s="48"/>
      <c r="I5" s="48"/>
      <c r="J5" s="48"/>
      <c r="K5" s="48"/>
      <c r="L5" s="48"/>
      <c r="M5" s="48"/>
      <c r="N5" s="48"/>
      <c r="O5" s="48"/>
      <c r="P5" s="48"/>
      <c r="Q5" s="48"/>
      <c r="R5" s="8"/>
      <c r="S5" s="8"/>
    </row>
    <row r="6" spans="2:62" ht="52.5" customHeight="1" x14ac:dyDescent="0.25">
      <c r="B6" s="6">
        <v>2</v>
      </c>
      <c r="C6" s="49"/>
      <c r="D6" s="49"/>
      <c r="E6" s="49"/>
      <c r="F6" s="49"/>
      <c r="G6" s="49"/>
      <c r="H6" s="49"/>
      <c r="I6" s="49"/>
      <c r="J6" s="49"/>
      <c r="K6" s="49"/>
      <c r="L6" s="49"/>
      <c r="M6" s="49"/>
      <c r="N6" s="49"/>
      <c r="O6" s="49"/>
      <c r="P6" s="49"/>
      <c r="Q6" s="49"/>
      <c r="R6" s="9"/>
      <c r="S6" s="9"/>
    </row>
    <row r="7" spans="2:62" ht="44.25" customHeight="1" x14ac:dyDescent="0.25">
      <c r="B7" s="6">
        <v>3</v>
      </c>
      <c r="C7" s="50"/>
      <c r="D7" s="50"/>
      <c r="E7" s="50"/>
      <c r="F7" s="50"/>
      <c r="G7" s="50"/>
      <c r="H7" s="50"/>
      <c r="I7" s="50"/>
      <c r="J7" s="50"/>
      <c r="K7" s="50"/>
      <c r="L7" s="50"/>
      <c r="M7" s="50"/>
      <c r="N7" s="50"/>
      <c r="O7" s="50"/>
      <c r="P7" s="50"/>
      <c r="Q7" s="50"/>
      <c r="R7" s="8"/>
      <c r="S7" s="8"/>
    </row>
    <row r="8" spans="2:62" ht="15" customHeight="1" x14ac:dyDescent="0.25">
      <c r="B8" s="6"/>
      <c r="C8" s="10"/>
      <c r="D8" s="10"/>
      <c r="E8" s="7"/>
      <c r="F8" s="11"/>
      <c r="G8" s="11"/>
      <c r="H8" s="11"/>
      <c r="I8" s="11"/>
      <c r="J8" s="11"/>
      <c r="K8" s="11"/>
      <c r="L8" s="11"/>
      <c r="M8" s="11"/>
      <c r="N8" s="11"/>
      <c r="O8" s="12"/>
      <c r="P8" s="12"/>
      <c r="Q8" s="11"/>
      <c r="R8" s="11"/>
      <c r="S8" s="13"/>
    </row>
    <row r="9" spans="2:62" ht="15" customHeight="1" x14ac:dyDescent="0.25">
      <c r="O9" s="1"/>
      <c r="P9" s="1"/>
      <c r="S9" s="14"/>
      <c r="T9" s="15"/>
      <c r="AF9" s="14"/>
      <c r="AT9" s="14"/>
      <c r="BG9" s="14"/>
    </row>
    <row r="10" spans="2:62" ht="15" customHeight="1" thickBot="1" x14ac:dyDescent="0.3">
      <c r="B10" s="16"/>
      <c r="C10" s="16"/>
      <c r="D10" s="16"/>
      <c r="E10" s="17"/>
      <c r="F10" s="16"/>
      <c r="G10" s="56" t="s">
        <v>0</v>
      </c>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row>
    <row r="11" spans="2:62" ht="15.75" customHeight="1" thickBot="1" x14ac:dyDescent="0.3">
      <c r="B11" s="18"/>
      <c r="C11" s="18"/>
      <c r="D11" s="18"/>
      <c r="E11" s="19"/>
      <c r="F11" s="18"/>
      <c r="G11" s="58" t="s">
        <v>1</v>
      </c>
      <c r="H11" s="59"/>
      <c r="I11" s="59"/>
      <c r="J11" s="59"/>
      <c r="K11" s="59"/>
      <c r="L11" s="59"/>
      <c r="M11" s="59"/>
      <c r="N11" s="59"/>
      <c r="O11" s="59"/>
      <c r="P11" s="59"/>
      <c r="Q11" s="59"/>
      <c r="R11" s="60"/>
      <c r="S11" s="20">
        <f>IF(S26="100%",((S12*0.8)+(S26*0.2)),S12)</f>
        <v>0</v>
      </c>
      <c r="T11" s="61" t="s">
        <v>2</v>
      </c>
      <c r="U11" s="62"/>
      <c r="V11" s="62"/>
      <c r="W11" s="62"/>
      <c r="X11" s="62"/>
      <c r="Y11" s="62"/>
      <c r="Z11" s="62"/>
      <c r="AA11" s="62"/>
      <c r="AB11" s="62"/>
      <c r="AC11" s="62"/>
      <c r="AD11" s="62"/>
      <c r="AE11" s="63"/>
      <c r="AF11" s="21">
        <f>IF(AF26="100%",((AF12*0.8)+(AF26*0.2)),AF12)</f>
        <v>0</v>
      </c>
      <c r="AG11" s="22">
        <f>IF(AG26="100%",((AG12*0.8)+(AG26*0.2)),AG12)</f>
        <v>0</v>
      </c>
      <c r="AH11" s="64" t="s">
        <v>3</v>
      </c>
      <c r="AI11" s="59"/>
      <c r="AJ11" s="59"/>
      <c r="AK11" s="59"/>
      <c r="AL11" s="59"/>
      <c r="AM11" s="59"/>
      <c r="AN11" s="59"/>
      <c r="AO11" s="59"/>
      <c r="AP11" s="59"/>
      <c r="AQ11" s="59"/>
      <c r="AR11" s="59"/>
      <c r="AS11" s="60"/>
      <c r="AT11" s="20">
        <f>IF(AT26="100%",((AT12*0.8)+(AT26*0.2)),AT12)</f>
        <v>0</v>
      </c>
      <c r="AU11" s="61" t="s">
        <v>4</v>
      </c>
      <c r="AV11" s="62"/>
      <c r="AW11" s="62"/>
      <c r="AX11" s="62"/>
      <c r="AY11" s="62"/>
      <c r="AZ11" s="62"/>
      <c r="BA11" s="62"/>
      <c r="BB11" s="62"/>
      <c r="BC11" s="62"/>
      <c r="BD11" s="62"/>
      <c r="BE11" s="62"/>
      <c r="BF11" s="63"/>
      <c r="BG11" s="23">
        <f>IF(BG26="100%",((BG12*0.8)+(BG26*0.2)),BG12)</f>
        <v>0</v>
      </c>
      <c r="BH11" s="22">
        <f>IF(BH26="100%",((BH12*0.8)+(BH26*0.2)),BH12)</f>
        <v>0</v>
      </c>
      <c r="BI11" s="83">
        <f>IF(BI26="100%",((BI12*0.8)+(BI26*0.2)),BI12)</f>
        <v>0</v>
      </c>
      <c r="BJ11" s="97">
        <f>SUM(BJ14:BJ25)</f>
        <v>2626453.38</v>
      </c>
    </row>
    <row r="12" spans="2:62" ht="54.75" customHeight="1" thickBot="1" x14ac:dyDescent="0.3">
      <c r="B12" s="18" t="s">
        <v>5</v>
      </c>
      <c r="C12" s="18" t="s">
        <v>29</v>
      </c>
      <c r="D12" s="18" t="s">
        <v>6</v>
      </c>
      <c r="E12" s="18" t="s">
        <v>30</v>
      </c>
      <c r="F12" s="65" t="s">
        <v>7</v>
      </c>
      <c r="G12" s="66" t="s">
        <v>8</v>
      </c>
      <c r="H12" s="67"/>
      <c r="I12" s="67"/>
      <c r="J12" s="68"/>
      <c r="K12" s="66" t="s">
        <v>9</v>
      </c>
      <c r="L12" s="67"/>
      <c r="M12" s="67"/>
      <c r="N12" s="68"/>
      <c r="O12" s="66" t="s">
        <v>10</v>
      </c>
      <c r="P12" s="67"/>
      <c r="Q12" s="67"/>
      <c r="R12" s="68"/>
      <c r="S12" s="24">
        <f>IFERROR(AVERAGE(S14:S25),0)</f>
        <v>0</v>
      </c>
      <c r="T12" s="66" t="s">
        <v>11</v>
      </c>
      <c r="U12" s="67"/>
      <c r="V12" s="67"/>
      <c r="W12" s="68"/>
      <c r="X12" s="66" t="s">
        <v>12</v>
      </c>
      <c r="Y12" s="67"/>
      <c r="Z12" s="67"/>
      <c r="AA12" s="68"/>
      <c r="AB12" s="66" t="s">
        <v>13</v>
      </c>
      <c r="AC12" s="67"/>
      <c r="AD12" s="67"/>
      <c r="AE12" s="68"/>
      <c r="AF12" s="25">
        <f>IFERROR(AVERAGE(AF14:AF25),0)</f>
        <v>0</v>
      </c>
      <c r="AG12" s="81">
        <f>IFERROR(AVERAGE(AG14:AG25),0)</f>
        <v>0</v>
      </c>
      <c r="AH12" s="67" t="s">
        <v>14</v>
      </c>
      <c r="AI12" s="67"/>
      <c r="AJ12" s="67"/>
      <c r="AK12" s="68"/>
      <c r="AL12" s="66" t="s">
        <v>15</v>
      </c>
      <c r="AM12" s="67"/>
      <c r="AN12" s="67"/>
      <c r="AO12" s="68"/>
      <c r="AP12" s="66" t="s">
        <v>16</v>
      </c>
      <c r="AQ12" s="67"/>
      <c r="AR12" s="67"/>
      <c r="AS12" s="68"/>
      <c r="AT12" s="24">
        <f>IFERROR(AVERAGE(AT14:AT25),0)</f>
        <v>0</v>
      </c>
      <c r="AU12" s="66" t="s">
        <v>17</v>
      </c>
      <c r="AV12" s="67"/>
      <c r="AW12" s="67"/>
      <c r="AX12" s="68"/>
      <c r="AY12" s="66" t="s">
        <v>18</v>
      </c>
      <c r="AZ12" s="67"/>
      <c r="BA12" s="67"/>
      <c r="BB12" s="68"/>
      <c r="BC12" s="66" t="s">
        <v>19</v>
      </c>
      <c r="BD12" s="67"/>
      <c r="BE12" s="67"/>
      <c r="BF12" s="68"/>
      <c r="BG12" s="26">
        <f>IFERROR(AVERAGE(BG14:BG25),0)</f>
        <v>0</v>
      </c>
      <c r="BH12" s="81">
        <f>IFERROR(AVERAGE(BH14:BH25),0)</f>
        <v>0</v>
      </c>
      <c r="BI12" s="85">
        <f>IFERROR(AVERAGE(BI14:BI25),0)</f>
        <v>0</v>
      </c>
      <c r="BJ12" s="52"/>
    </row>
    <row r="13" spans="2:62" s="2" customFormat="1" ht="73.5" customHeight="1" thickBot="1" x14ac:dyDescent="0.3">
      <c r="B13" s="69"/>
      <c r="C13" s="69"/>
      <c r="D13" s="69"/>
      <c r="E13" s="69"/>
      <c r="F13" s="70"/>
      <c r="G13" s="27" t="s">
        <v>20</v>
      </c>
      <c r="H13" s="28" t="s">
        <v>21</v>
      </c>
      <c r="I13" s="28" t="s">
        <v>22</v>
      </c>
      <c r="J13" s="29" t="s">
        <v>32</v>
      </c>
      <c r="K13" s="27" t="s">
        <v>20</v>
      </c>
      <c r="L13" s="28" t="s">
        <v>21</v>
      </c>
      <c r="M13" s="28" t="s">
        <v>22</v>
      </c>
      <c r="N13" s="29" t="s">
        <v>32</v>
      </c>
      <c r="O13" s="27" t="s">
        <v>20</v>
      </c>
      <c r="P13" s="28" t="s">
        <v>21</v>
      </c>
      <c r="Q13" s="28" t="s">
        <v>22</v>
      </c>
      <c r="R13" s="29" t="s">
        <v>32</v>
      </c>
      <c r="S13" s="30" t="s">
        <v>23</v>
      </c>
      <c r="T13" s="27" t="s">
        <v>20</v>
      </c>
      <c r="U13" s="28" t="s">
        <v>21</v>
      </c>
      <c r="V13" s="28" t="s">
        <v>22</v>
      </c>
      <c r="W13" s="29" t="s">
        <v>32</v>
      </c>
      <c r="X13" s="27" t="s">
        <v>20</v>
      </c>
      <c r="Y13" s="28" t="s">
        <v>21</v>
      </c>
      <c r="Z13" s="28" t="s">
        <v>22</v>
      </c>
      <c r="AA13" s="29" t="s">
        <v>32</v>
      </c>
      <c r="AB13" s="27" t="s">
        <v>20</v>
      </c>
      <c r="AC13" s="28" t="s">
        <v>21</v>
      </c>
      <c r="AD13" s="28" t="s">
        <v>22</v>
      </c>
      <c r="AE13" s="29" t="s">
        <v>32</v>
      </c>
      <c r="AF13" s="31" t="s">
        <v>23</v>
      </c>
      <c r="AG13" s="82" t="s">
        <v>24</v>
      </c>
      <c r="AH13" s="28" t="s">
        <v>20</v>
      </c>
      <c r="AI13" s="28" t="s">
        <v>21</v>
      </c>
      <c r="AJ13" s="28" t="s">
        <v>22</v>
      </c>
      <c r="AK13" s="29" t="s">
        <v>32</v>
      </c>
      <c r="AL13" s="27" t="s">
        <v>20</v>
      </c>
      <c r="AM13" s="28" t="s">
        <v>21</v>
      </c>
      <c r="AN13" s="28" t="s">
        <v>22</v>
      </c>
      <c r="AO13" s="29" t="s">
        <v>32</v>
      </c>
      <c r="AP13" s="27" t="s">
        <v>20</v>
      </c>
      <c r="AQ13" s="28" t="s">
        <v>21</v>
      </c>
      <c r="AR13" s="28" t="s">
        <v>22</v>
      </c>
      <c r="AS13" s="29" t="s">
        <v>32</v>
      </c>
      <c r="AT13" s="30" t="s">
        <v>23</v>
      </c>
      <c r="AU13" s="27" t="s">
        <v>20</v>
      </c>
      <c r="AV13" s="28" t="s">
        <v>21</v>
      </c>
      <c r="AW13" s="28" t="s">
        <v>22</v>
      </c>
      <c r="AX13" s="29" t="s">
        <v>32</v>
      </c>
      <c r="AY13" s="27" t="s">
        <v>20</v>
      </c>
      <c r="AZ13" s="28" t="s">
        <v>21</v>
      </c>
      <c r="BA13" s="28" t="s">
        <v>22</v>
      </c>
      <c r="BB13" s="29" t="s">
        <v>32</v>
      </c>
      <c r="BC13" s="27" t="s">
        <v>20</v>
      </c>
      <c r="BD13" s="28" t="s">
        <v>21</v>
      </c>
      <c r="BE13" s="28" t="s">
        <v>22</v>
      </c>
      <c r="BF13" s="29" t="s">
        <v>32</v>
      </c>
      <c r="BG13" s="32" t="s">
        <v>23</v>
      </c>
      <c r="BH13" s="82" t="s">
        <v>25</v>
      </c>
      <c r="BI13" s="84" t="s">
        <v>26</v>
      </c>
      <c r="BJ13" s="33" t="s">
        <v>27</v>
      </c>
    </row>
    <row r="14" spans="2:62" s="2" customFormat="1" ht="73.5" customHeight="1" thickBot="1" x14ac:dyDescent="0.3">
      <c r="B14" s="96">
        <v>1</v>
      </c>
      <c r="C14" s="110" t="s">
        <v>58</v>
      </c>
      <c r="D14" s="108" t="s">
        <v>57</v>
      </c>
      <c r="E14" s="88" t="s">
        <v>53</v>
      </c>
      <c r="F14" s="35" t="s">
        <v>49</v>
      </c>
      <c r="G14" s="36"/>
      <c r="H14" s="36"/>
      <c r="I14" s="71" t="str">
        <f t="shared" ref="I14:I25" si="0">IFERROR(IF(H14/G14&lt;=1,H14/G14,"El valor excede al 100%, colocar el valor programado y trasladar el excedente a actividades no programadas en este mes"),"Actividad no programada")</f>
        <v>Actividad no programada</v>
      </c>
      <c r="J14" s="36"/>
      <c r="K14" s="36"/>
      <c r="L14" s="36"/>
      <c r="M14" s="71" t="str">
        <f t="shared" ref="M14:M25" si="1">IFERROR(IF(L14/K14&lt;=1,L14/K14,"El valor excede al 100%, colocar el valor programado y trasladar el excedente a actividades no programadas en este mes"),"Actividad no programada")</f>
        <v>Actividad no programada</v>
      </c>
      <c r="N14" s="36"/>
      <c r="O14" s="36"/>
      <c r="P14" s="36"/>
      <c r="Q14" s="71" t="str">
        <f t="shared" ref="Q14:Q25" si="2">IFERROR(IF(P14/O14&lt;=1,P14/O14,"El valor excede al 100%, colocar el valor programado y trasladar el excedente a actividades no programadas en este mes"),"Actividad no programada")</f>
        <v>Actividad no programada</v>
      </c>
      <c r="R14" s="36"/>
      <c r="S14" s="73" t="str">
        <f t="shared" ref="S14:S25" si="3">IFERROR(AVERAGE(I14,M14,Q14),"VALORES NO COLOCADOS")</f>
        <v>VALORES NO COLOCADOS</v>
      </c>
      <c r="T14" s="36"/>
      <c r="U14" s="36"/>
      <c r="V14" s="71" t="str">
        <f t="shared" ref="V14:V25" si="4">IFERROR(IF(U14/T14&lt;=1,U14/T14,"El valor excede al 100%, colocar el valor programado y trasladar el excedente a actividades no programadas en este mes"),"Actividad no programada")</f>
        <v>Actividad no programada</v>
      </c>
      <c r="W14" s="36"/>
      <c r="X14" s="36"/>
      <c r="Y14" s="36"/>
      <c r="Z14" s="71" t="str">
        <f t="shared" ref="Z14:Z25" si="5">IFERROR(IF(Y14/X14&lt;=1,Y14/X14,"El valor excede al 100%, colocar el valor programado y trasladar el excedente a actividades no programadas en este mes"),"Actividad no programada")</f>
        <v>Actividad no programada</v>
      </c>
      <c r="AA14" s="36"/>
      <c r="AB14" s="36"/>
      <c r="AC14" s="36"/>
      <c r="AD14" s="71" t="str">
        <f t="shared" ref="AD14:AD25" si="6">IFERROR(IF(AC14/AB14&lt;=1,AC14/AB14,"El valor excede al 100%, colocar el valor programado y trasladar el excedente a actividades no programadas en este mes"),"Actividad no programada")</f>
        <v>Actividad no programada</v>
      </c>
      <c r="AE14" s="36"/>
      <c r="AF14" s="73" t="str">
        <f t="shared" ref="AF14:AF25" si="7">IFERROR(AVERAGE(V14,Z14,AD14),"VALORES NO COLOCADOS")</f>
        <v>VALORES NO COLOCADOS</v>
      </c>
      <c r="AG14" s="77" t="str">
        <f t="shared" ref="AG14:AG25" si="8">IFERROR(AVERAGE(S14,AF14),"VALORES NO COLOCADOS")</f>
        <v>VALORES NO COLOCADOS</v>
      </c>
      <c r="AH14" s="36"/>
      <c r="AI14" s="36"/>
      <c r="AJ14" s="71" t="str">
        <f t="shared" ref="AJ14:AJ25" si="9">IFERROR(IF(AI14/AH14&lt;=1,AI14/AH14,"El valor excede al 100%, colocar el valor programado y trasladar el excedente a actividades no programadas en este mes"),"Actividad no programada")</f>
        <v>Actividad no programada</v>
      </c>
      <c r="AK14" s="36"/>
      <c r="AL14" s="36">
        <v>1</v>
      </c>
      <c r="AM14" s="36"/>
      <c r="AN14" s="71">
        <f t="shared" ref="AN14:AN25" si="10">IFERROR(IF(AM14/AL14&lt;=1,AM14/AL14,"El valor excede al 100%, colocar el valor programado y trasladar el excedente a actividades no programadas en este mes"),"Actividad no programada")</f>
        <v>0</v>
      </c>
      <c r="AO14" s="36"/>
      <c r="AP14" s="36"/>
      <c r="AQ14" s="36"/>
      <c r="AR14" s="71" t="str">
        <f t="shared" ref="AR14:AR25" si="11">IFERROR(IF(AQ14/AP14&lt;=1,AQ14/AP14,"El valor excede al 100%, colocar el valor programado y trasladar el excedente a actividades no programadas en este mes"),"Actividad no programada")</f>
        <v>Actividad no programada</v>
      </c>
      <c r="AS14" s="36"/>
      <c r="AT14" s="73">
        <f t="shared" ref="AT14:AT25" si="12">IFERROR(AVERAGE(AJ14,AN14,AR14),"VALORES NO COLOCADOS")</f>
        <v>0</v>
      </c>
      <c r="AU14" s="36"/>
      <c r="AV14" s="36"/>
      <c r="AW14" s="71" t="str">
        <f t="shared" ref="AW14:AW25" si="13">IFERROR(IF(AV14/AU14&lt;=1,AV14/AU14,"El valor excede al 100%, colocar el valor programado y trasladar el excedente a actividades no programadas en este mes"),"Actividad no programada")</f>
        <v>Actividad no programada</v>
      </c>
      <c r="AX14" s="39"/>
      <c r="AY14" s="37"/>
      <c r="AZ14" s="37"/>
      <c r="BA14" s="71" t="str">
        <f t="shared" ref="BA14:BA25" si="14">IFERROR(IF(AZ14/AY14&lt;=1,AZ14/AY14,"El valor excede al 100%, colocar el valor programado y trasladar el excedente a actividades no programadas en este mes"),"Actividad no programada")</f>
        <v>Actividad no programada</v>
      </c>
      <c r="BB14" s="39"/>
      <c r="BC14" s="37"/>
      <c r="BD14" s="36"/>
      <c r="BE14" s="71" t="str">
        <f t="shared" ref="BE14:BE25" si="15">IFERROR(IF(BD14/BC14&lt;=1,BD14/BC14,"El valor excede al 100%, colocar el valor programado y trasladar el excedente a actividades no programadas en este mes"),"Actividad no programada")</f>
        <v>Actividad no programada</v>
      </c>
      <c r="BF14" s="36"/>
      <c r="BG14" s="73" t="str">
        <f t="shared" ref="BG14:BG25" si="16">IFERROR(AVERAGE(AW14,BA14,BE14),"VALORES NO COLOCADOS")</f>
        <v>VALORES NO COLOCADOS</v>
      </c>
      <c r="BH14" s="74">
        <f t="shared" ref="BH14:BH25" si="17">IFERROR(AVERAGE(AT14,BG14),"VALORES NO COLOCADOS")</f>
        <v>0</v>
      </c>
      <c r="BI14" s="75">
        <f t="shared" ref="BI14:BI25" si="18">IFERROR(AVERAGE(AG14,BH14),"VALORES NO COLOCADOS")</f>
        <v>0</v>
      </c>
      <c r="BJ14" s="91">
        <v>653.38</v>
      </c>
    </row>
    <row r="15" spans="2:62" s="2" customFormat="1" ht="73.5" customHeight="1" thickBot="1" x14ac:dyDescent="0.3">
      <c r="B15" s="96">
        <v>2</v>
      </c>
      <c r="C15" s="110"/>
      <c r="D15" s="109"/>
      <c r="E15" s="88" t="s">
        <v>52</v>
      </c>
      <c r="F15" s="35" t="s">
        <v>49</v>
      </c>
      <c r="G15" s="36">
        <v>1</v>
      </c>
      <c r="H15" s="36"/>
      <c r="I15" s="71">
        <f t="shared" si="0"/>
        <v>0</v>
      </c>
      <c r="J15" s="36"/>
      <c r="K15" s="36"/>
      <c r="L15" s="36"/>
      <c r="M15" s="71" t="str">
        <f t="shared" si="1"/>
        <v>Actividad no programada</v>
      </c>
      <c r="N15" s="36"/>
      <c r="O15" s="36"/>
      <c r="P15" s="36"/>
      <c r="Q15" s="71" t="str">
        <f t="shared" si="2"/>
        <v>Actividad no programada</v>
      </c>
      <c r="R15" s="36"/>
      <c r="S15" s="73">
        <f t="shared" si="3"/>
        <v>0</v>
      </c>
      <c r="T15" s="36"/>
      <c r="U15" s="36"/>
      <c r="V15" s="71" t="str">
        <f t="shared" si="4"/>
        <v>Actividad no programada</v>
      </c>
      <c r="W15" s="36"/>
      <c r="X15" s="36"/>
      <c r="Y15" s="36"/>
      <c r="Z15" s="71" t="str">
        <f t="shared" si="5"/>
        <v>Actividad no programada</v>
      </c>
      <c r="AA15" s="36"/>
      <c r="AB15" s="36"/>
      <c r="AC15" s="36"/>
      <c r="AD15" s="71" t="str">
        <f t="shared" si="6"/>
        <v>Actividad no programada</v>
      </c>
      <c r="AE15" s="36"/>
      <c r="AF15" s="73" t="str">
        <f t="shared" si="7"/>
        <v>VALORES NO COLOCADOS</v>
      </c>
      <c r="AG15" s="77">
        <f t="shared" si="8"/>
        <v>0</v>
      </c>
      <c r="AH15" s="36"/>
      <c r="AI15" s="36"/>
      <c r="AJ15" s="71" t="str">
        <f t="shared" si="9"/>
        <v>Actividad no programada</v>
      </c>
      <c r="AK15" s="36"/>
      <c r="AL15" s="36"/>
      <c r="AM15" s="36"/>
      <c r="AN15" s="71" t="str">
        <f t="shared" si="10"/>
        <v>Actividad no programada</v>
      </c>
      <c r="AO15" s="36"/>
      <c r="AP15" s="36"/>
      <c r="AQ15" s="36"/>
      <c r="AR15" s="71" t="str">
        <f t="shared" si="11"/>
        <v>Actividad no programada</v>
      </c>
      <c r="AS15" s="36"/>
      <c r="AT15" s="73" t="str">
        <f t="shared" si="12"/>
        <v>VALORES NO COLOCADOS</v>
      </c>
      <c r="AU15" s="36"/>
      <c r="AV15" s="36"/>
      <c r="AW15" s="71" t="str">
        <f t="shared" si="13"/>
        <v>Actividad no programada</v>
      </c>
      <c r="AX15" s="39"/>
      <c r="AY15" s="37"/>
      <c r="AZ15" s="37"/>
      <c r="BA15" s="71" t="str">
        <f t="shared" si="14"/>
        <v>Actividad no programada</v>
      </c>
      <c r="BB15" s="39"/>
      <c r="BC15" s="37"/>
      <c r="BD15" s="36"/>
      <c r="BE15" s="71" t="str">
        <f t="shared" si="15"/>
        <v>Actividad no programada</v>
      </c>
      <c r="BF15" s="36"/>
      <c r="BG15" s="73" t="str">
        <f t="shared" si="16"/>
        <v>VALORES NO COLOCADOS</v>
      </c>
      <c r="BH15" s="74" t="str">
        <f t="shared" si="17"/>
        <v>VALORES NO COLOCADOS</v>
      </c>
      <c r="BI15" s="75">
        <f t="shared" si="18"/>
        <v>0</v>
      </c>
      <c r="BJ15" s="53">
        <v>1188000</v>
      </c>
    </row>
    <row r="16" spans="2:62" ht="62.25" customHeight="1" thickBot="1" x14ac:dyDescent="0.3">
      <c r="B16" s="34">
        <v>3</v>
      </c>
      <c r="C16" s="93"/>
      <c r="D16" s="108" t="s">
        <v>36</v>
      </c>
      <c r="E16" s="87" t="s">
        <v>37</v>
      </c>
      <c r="F16" s="51" t="s">
        <v>39</v>
      </c>
      <c r="G16" s="86"/>
      <c r="H16" s="86"/>
      <c r="I16" s="71" t="str">
        <f t="shared" si="0"/>
        <v>Actividad no programada</v>
      </c>
      <c r="J16" s="38"/>
      <c r="K16" s="37"/>
      <c r="L16" s="37"/>
      <c r="M16" s="71" t="str">
        <f t="shared" si="1"/>
        <v>Actividad no programada</v>
      </c>
      <c r="N16" s="39"/>
      <c r="O16" s="80">
        <v>1</v>
      </c>
      <c r="P16" s="37"/>
      <c r="Q16" s="71">
        <f t="shared" si="2"/>
        <v>0</v>
      </c>
      <c r="R16" s="39"/>
      <c r="S16" s="73">
        <f t="shared" si="3"/>
        <v>0</v>
      </c>
      <c r="T16" s="37"/>
      <c r="U16" s="37"/>
      <c r="V16" s="71" t="str">
        <f t="shared" si="4"/>
        <v>Actividad no programada</v>
      </c>
      <c r="W16" s="39"/>
      <c r="X16" s="37"/>
      <c r="Y16" s="37"/>
      <c r="Z16" s="71" t="str">
        <f t="shared" si="5"/>
        <v>Actividad no programada</v>
      </c>
      <c r="AA16" s="39"/>
      <c r="AB16" s="37">
        <v>1</v>
      </c>
      <c r="AC16" s="37"/>
      <c r="AD16" s="71">
        <f t="shared" si="6"/>
        <v>0</v>
      </c>
      <c r="AE16" s="39"/>
      <c r="AF16" s="73">
        <f t="shared" si="7"/>
        <v>0</v>
      </c>
      <c r="AG16" s="77">
        <f t="shared" si="8"/>
        <v>0</v>
      </c>
      <c r="AH16" s="40"/>
      <c r="AI16" s="37"/>
      <c r="AJ16" s="71" t="str">
        <f t="shared" si="9"/>
        <v>Actividad no programada</v>
      </c>
      <c r="AK16" s="39"/>
      <c r="AL16" s="37"/>
      <c r="AM16" s="37"/>
      <c r="AN16" s="71" t="str">
        <f t="shared" si="10"/>
        <v>Actividad no programada</v>
      </c>
      <c r="AO16" s="39"/>
      <c r="AP16" s="37">
        <v>1</v>
      </c>
      <c r="AQ16" s="37"/>
      <c r="AR16" s="71">
        <f t="shared" si="11"/>
        <v>0</v>
      </c>
      <c r="AS16" s="39"/>
      <c r="AT16" s="73">
        <f t="shared" si="12"/>
        <v>0</v>
      </c>
      <c r="AU16" s="37"/>
      <c r="AV16" s="37"/>
      <c r="AW16" s="71" t="str">
        <f t="shared" si="13"/>
        <v>Actividad no programada</v>
      </c>
      <c r="AX16" s="39"/>
      <c r="AY16" s="37"/>
      <c r="AZ16" s="37"/>
      <c r="BA16" s="71" t="str">
        <f t="shared" si="14"/>
        <v>Actividad no programada</v>
      </c>
      <c r="BB16" s="39"/>
      <c r="BC16" s="37">
        <v>1</v>
      </c>
      <c r="BD16" s="37"/>
      <c r="BE16" s="71">
        <f t="shared" si="15"/>
        <v>0</v>
      </c>
      <c r="BF16" s="39"/>
      <c r="BG16" s="73">
        <f t="shared" si="16"/>
        <v>0</v>
      </c>
      <c r="BH16" s="74">
        <f t="shared" si="17"/>
        <v>0</v>
      </c>
      <c r="BI16" s="75">
        <f t="shared" si="18"/>
        <v>0</v>
      </c>
      <c r="BJ16" s="90"/>
    </row>
    <row r="17" spans="1:62" ht="62.25" customHeight="1" thickBot="1" x14ac:dyDescent="0.3">
      <c r="B17" s="34">
        <v>4</v>
      </c>
      <c r="C17" s="94"/>
      <c r="D17" s="109"/>
      <c r="E17" s="92" t="s">
        <v>38</v>
      </c>
      <c r="F17" s="35" t="s">
        <v>48</v>
      </c>
      <c r="G17" s="86"/>
      <c r="H17" s="86"/>
      <c r="I17" s="71" t="str">
        <f t="shared" si="0"/>
        <v>Actividad no programada</v>
      </c>
      <c r="J17" s="38"/>
      <c r="K17" s="37"/>
      <c r="L17" s="37"/>
      <c r="M17" s="71" t="str">
        <f t="shared" si="1"/>
        <v>Actividad no programada</v>
      </c>
      <c r="N17" s="39"/>
      <c r="O17" s="80">
        <v>1</v>
      </c>
      <c r="P17" s="37"/>
      <c r="Q17" s="71">
        <f t="shared" si="2"/>
        <v>0</v>
      </c>
      <c r="R17" s="39"/>
      <c r="S17" s="73">
        <f t="shared" si="3"/>
        <v>0</v>
      </c>
      <c r="T17" s="37"/>
      <c r="U17" s="37"/>
      <c r="V17" s="71" t="str">
        <f t="shared" si="4"/>
        <v>Actividad no programada</v>
      </c>
      <c r="W17" s="39"/>
      <c r="X17" s="37"/>
      <c r="Y17" s="37"/>
      <c r="Z17" s="71" t="str">
        <f t="shared" si="5"/>
        <v>Actividad no programada</v>
      </c>
      <c r="AA17" s="39"/>
      <c r="AB17" s="37">
        <v>1</v>
      </c>
      <c r="AC17" s="37"/>
      <c r="AD17" s="71">
        <f t="shared" si="6"/>
        <v>0</v>
      </c>
      <c r="AE17" s="39"/>
      <c r="AF17" s="73">
        <f t="shared" si="7"/>
        <v>0</v>
      </c>
      <c r="AG17" s="77">
        <f t="shared" si="8"/>
        <v>0</v>
      </c>
      <c r="AH17" s="40"/>
      <c r="AI17" s="37"/>
      <c r="AJ17" s="71" t="str">
        <f t="shared" si="9"/>
        <v>Actividad no programada</v>
      </c>
      <c r="AK17" s="39"/>
      <c r="AL17" s="37"/>
      <c r="AM17" s="37"/>
      <c r="AN17" s="71" t="str">
        <f t="shared" si="10"/>
        <v>Actividad no programada</v>
      </c>
      <c r="AO17" s="39"/>
      <c r="AP17" s="37">
        <v>1</v>
      </c>
      <c r="AQ17" s="37"/>
      <c r="AR17" s="71">
        <f t="shared" si="11"/>
        <v>0</v>
      </c>
      <c r="AS17" s="39"/>
      <c r="AT17" s="73">
        <f t="shared" si="12"/>
        <v>0</v>
      </c>
      <c r="AU17" s="37"/>
      <c r="AV17" s="37"/>
      <c r="AW17" s="71" t="str">
        <f t="shared" si="13"/>
        <v>Actividad no programada</v>
      </c>
      <c r="AX17" s="39"/>
      <c r="AY17" s="37"/>
      <c r="AZ17" s="37"/>
      <c r="BA17" s="71" t="str">
        <f t="shared" si="14"/>
        <v>Actividad no programada</v>
      </c>
      <c r="BB17" s="39"/>
      <c r="BC17" s="37">
        <v>1</v>
      </c>
      <c r="BD17" s="36"/>
      <c r="BE17" s="71">
        <f t="shared" si="15"/>
        <v>0</v>
      </c>
      <c r="BF17" s="36"/>
      <c r="BG17" s="73">
        <f t="shared" si="16"/>
        <v>0</v>
      </c>
      <c r="BH17" s="74">
        <f t="shared" si="17"/>
        <v>0</v>
      </c>
      <c r="BI17" s="75">
        <f t="shared" si="18"/>
        <v>0</v>
      </c>
      <c r="BJ17" s="90"/>
    </row>
    <row r="18" spans="1:62" ht="60" customHeight="1" thickBot="1" x14ac:dyDescent="0.3">
      <c r="B18" s="34">
        <v>5</v>
      </c>
      <c r="C18" s="94"/>
      <c r="D18" s="108" t="s">
        <v>56</v>
      </c>
      <c r="E18" s="88" t="s">
        <v>55</v>
      </c>
      <c r="F18" s="35" t="s">
        <v>49</v>
      </c>
      <c r="G18" s="86"/>
      <c r="H18" s="86"/>
      <c r="I18" s="71" t="str">
        <f t="shared" si="0"/>
        <v>Actividad no programada</v>
      </c>
      <c r="J18" s="38"/>
      <c r="K18" s="37"/>
      <c r="L18" s="37"/>
      <c r="M18" s="71" t="str">
        <f t="shared" si="1"/>
        <v>Actividad no programada</v>
      </c>
      <c r="N18" s="39"/>
      <c r="O18" s="80"/>
      <c r="P18" s="37"/>
      <c r="Q18" s="71" t="str">
        <f t="shared" si="2"/>
        <v>Actividad no programada</v>
      </c>
      <c r="R18" s="39"/>
      <c r="S18" s="73" t="str">
        <f t="shared" si="3"/>
        <v>VALORES NO COLOCADOS</v>
      </c>
      <c r="T18" s="37"/>
      <c r="U18" s="37"/>
      <c r="V18" s="71" t="str">
        <f t="shared" si="4"/>
        <v>Actividad no programada</v>
      </c>
      <c r="W18" s="39"/>
      <c r="X18" s="37">
        <v>1</v>
      </c>
      <c r="Y18" s="37"/>
      <c r="Z18" s="71">
        <f t="shared" si="5"/>
        <v>0</v>
      </c>
      <c r="AA18" s="39"/>
      <c r="AB18" s="37"/>
      <c r="AC18" s="37"/>
      <c r="AD18" s="71" t="str">
        <f t="shared" si="6"/>
        <v>Actividad no programada</v>
      </c>
      <c r="AE18" s="39"/>
      <c r="AF18" s="73">
        <f t="shared" si="7"/>
        <v>0</v>
      </c>
      <c r="AG18" s="77">
        <f t="shared" si="8"/>
        <v>0</v>
      </c>
      <c r="AH18" s="40"/>
      <c r="AI18" s="37"/>
      <c r="AJ18" s="71" t="str">
        <f t="shared" si="9"/>
        <v>Actividad no programada</v>
      </c>
      <c r="AK18" s="39"/>
      <c r="AL18" s="37"/>
      <c r="AM18" s="37"/>
      <c r="AN18" s="71" t="str">
        <f t="shared" si="10"/>
        <v>Actividad no programada</v>
      </c>
      <c r="AO18" s="39"/>
      <c r="AP18" s="37"/>
      <c r="AQ18" s="37"/>
      <c r="AR18" s="71" t="str">
        <f t="shared" si="11"/>
        <v>Actividad no programada</v>
      </c>
      <c r="AS18" s="39"/>
      <c r="AT18" s="73" t="str">
        <f t="shared" si="12"/>
        <v>VALORES NO COLOCADOS</v>
      </c>
      <c r="AU18" s="37"/>
      <c r="AV18" s="37"/>
      <c r="AW18" s="71" t="str">
        <f t="shared" si="13"/>
        <v>Actividad no programada</v>
      </c>
      <c r="AX18" s="39"/>
      <c r="AY18" s="37"/>
      <c r="AZ18" s="37"/>
      <c r="BA18" s="71" t="str">
        <f t="shared" si="14"/>
        <v>Actividad no programada</v>
      </c>
      <c r="BB18" s="39"/>
      <c r="BC18" s="37"/>
      <c r="BD18" s="36"/>
      <c r="BE18" s="71" t="str">
        <f t="shared" si="15"/>
        <v>Actividad no programada</v>
      </c>
      <c r="BF18" s="36"/>
      <c r="BG18" s="73" t="str">
        <f t="shared" si="16"/>
        <v>VALORES NO COLOCADOS</v>
      </c>
      <c r="BH18" s="74" t="str">
        <f t="shared" si="17"/>
        <v>VALORES NO COLOCADOS</v>
      </c>
      <c r="BI18" s="75">
        <f t="shared" si="18"/>
        <v>0</v>
      </c>
      <c r="BJ18" s="90"/>
    </row>
    <row r="19" spans="1:62" ht="62.25" customHeight="1" thickBot="1" x14ac:dyDescent="0.3">
      <c r="B19" s="34">
        <v>6</v>
      </c>
      <c r="C19" s="94"/>
      <c r="D19" s="111"/>
      <c r="E19" s="88" t="s">
        <v>40</v>
      </c>
      <c r="F19" s="35" t="s">
        <v>48</v>
      </c>
      <c r="G19" s="86">
        <v>1</v>
      </c>
      <c r="H19" s="86"/>
      <c r="I19" s="71">
        <f t="shared" si="0"/>
        <v>0</v>
      </c>
      <c r="J19" s="38"/>
      <c r="K19" s="37"/>
      <c r="L19" s="37"/>
      <c r="M19" s="71" t="str">
        <f t="shared" si="1"/>
        <v>Actividad no programada</v>
      </c>
      <c r="N19" s="39"/>
      <c r="O19" s="80"/>
      <c r="P19" s="37"/>
      <c r="Q19" s="71" t="str">
        <f t="shared" si="2"/>
        <v>Actividad no programada</v>
      </c>
      <c r="R19" s="39"/>
      <c r="S19" s="73">
        <f t="shared" si="3"/>
        <v>0</v>
      </c>
      <c r="T19" s="37">
        <v>1</v>
      </c>
      <c r="U19" s="37"/>
      <c r="V19" s="71">
        <f t="shared" si="4"/>
        <v>0</v>
      </c>
      <c r="W19" s="39"/>
      <c r="X19" s="37"/>
      <c r="Y19" s="37"/>
      <c r="Z19" s="71" t="str">
        <f t="shared" si="5"/>
        <v>Actividad no programada</v>
      </c>
      <c r="AA19" s="39"/>
      <c r="AB19" s="37"/>
      <c r="AC19" s="37"/>
      <c r="AD19" s="71" t="str">
        <f t="shared" si="6"/>
        <v>Actividad no programada</v>
      </c>
      <c r="AE19" s="39"/>
      <c r="AF19" s="73">
        <f t="shared" si="7"/>
        <v>0</v>
      </c>
      <c r="AG19" s="77">
        <f t="shared" si="8"/>
        <v>0</v>
      </c>
      <c r="AH19" s="40">
        <v>1</v>
      </c>
      <c r="AI19" s="37"/>
      <c r="AJ19" s="71">
        <f t="shared" si="9"/>
        <v>0</v>
      </c>
      <c r="AK19" s="39"/>
      <c r="AL19" s="37"/>
      <c r="AM19" s="37"/>
      <c r="AN19" s="71" t="str">
        <f t="shared" si="10"/>
        <v>Actividad no programada</v>
      </c>
      <c r="AO19" s="39"/>
      <c r="AP19" s="37">
        <v>1</v>
      </c>
      <c r="AQ19" s="37"/>
      <c r="AR19" s="71">
        <f t="shared" si="11"/>
        <v>0</v>
      </c>
      <c r="AS19" s="39"/>
      <c r="AT19" s="73">
        <f t="shared" si="12"/>
        <v>0</v>
      </c>
      <c r="AU19" s="37"/>
      <c r="AV19" s="37"/>
      <c r="AW19" s="71" t="str">
        <f t="shared" si="13"/>
        <v>Actividad no programada</v>
      </c>
      <c r="AX19" s="39"/>
      <c r="AY19" s="37"/>
      <c r="AZ19" s="37"/>
      <c r="BA19" s="71" t="str">
        <f t="shared" si="14"/>
        <v>Actividad no programada</v>
      </c>
      <c r="BB19" s="39"/>
      <c r="BC19" s="37">
        <v>1</v>
      </c>
      <c r="BD19" s="36"/>
      <c r="BE19" s="71">
        <f t="shared" si="15"/>
        <v>0</v>
      </c>
      <c r="BF19" s="36"/>
      <c r="BG19" s="73">
        <f t="shared" si="16"/>
        <v>0</v>
      </c>
      <c r="BH19" s="74">
        <f t="shared" si="17"/>
        <v>0</v>
      </c>
      <c r="BI19" s="75">
        <f t="shared" si="18"/>
        <v>0</v>
      </c>
      <c r="BJ19" s="90"/>
    </row>
    <row r="20" spans="1:62" ht="62.25" customHeight="1" thickBot="1" x14ac:dyDescent="0.3">
      <c r="B20" s="34">
        <v>7</v>
      </c>
      <c r="C20" s="94"/>
      <c r="D20" s="111"/>
      <c r="E20" s="88" t="s">
        <v>54</v>
      </c>
      <c r="F20" s="35" t="s">
        <v>41</v>
      </c>
      <c r="G20" s="86">
        <v>1</v>
      </c>
      <c r="H20" s="86"/>
      <c r="I20" s="71">
        <f t="shared" si="0"/>
        <v>0</v>
      </c>
      <c r="J20" s="38"/>
      <c r="K20" s="37">
        <v>1</v>
      </c>
      <c r="L20" s="37"/>
      <c r="M20" s="71">
        <f t="shared" si="1"/>
        <v>0</v>
      </c>
      <c r="N20" s="39"/>
      <c r="O20" s="80">
        <v>1</v>
      </c>
      <c r="P20" s="37"/>
      <c r="Q20" s="71">
        <f t="shared" si="2"/>
        <v>0</v>
      </c>
      <c r="R20" s="39"/>
      <c r="S20" s="73">
        <f t="shared" si="3"/>
        <v>0</v>
      </c>
      <c r="T20" s="37">
        <v>1</v>
      </c>
      <c r="U20" s="37"/>
      <c r="V20" s="71">
        <f t="shared" si="4"/>
        <v>0</v>
      </c>
      <c r="W20" s="39"/>
      <c r="X20" s="37">
        <v>1</v>
      </c>
      <c r="Y20" s="37"/>
      <c r="Z20" s="71">
        <f t="shared" si="5"/>
        <v>0</v>
      </c>
      <c r="AA20" s="39"/>
      <c r="AB20" s="37">
        <v>1</v>
      </c>
      <c r="AC20" s="37"/>
      <c r="AD20" s="71">
        <f t="shared" si="6"/>
        <v>0</v>
      </c>
      <c r="AE20" s="39"/>
      <c r="AF20" s="73">
        <f t="shared" si="7"/>
        <v>0</v>
      </c>
      <c r="AG20" s="77">
        <f t="shared" si="8"/>
        <v>0</v>
      </c>
      <c r="AH20" s="40">
        <v>1</v>
      </c>
      <c r="AI20" s="37"/>
      <c r="AJ20" s="71">
        <f t="shared" si="9"/>
        <v>0</v>
      </c>
      <c r="AK20" s="39"/>
      <c r="AL20" s="37">
        <v>1</v>
      </c>
      <c r="AM20" s="37"/>
      <c r="AN20" s="71">
        <f t="shared" si="10"/>
        <v>0</v>
      </c>
      <c r="AO20" s="39"/>
      <c r="AP20" s="37">
        <v>1</v>
      </c>
      <c r="AQ20" s="37"/>
      <c r="AR20" s="71">
        <f t="shared" si="11"/>
        <v>0</v>
      </c>
      <c r="AS20" s="39"/>
      <c r="AT20" s="73">
        <f t="shared" si="12"/>
        <v>0</v>
      </c>
      <c r="AU20" s="37">
        <v>1</v>
      </c>
      <c r="AV20" s="37"/>
      <c r="AW20" s="71">
        <f t="shared" si="13"/>
        <v>0</v>
      </c>
      <c r="AX20" s="39"/>
      <c r="AY20" s="37">
        <v>1</v>
      </c>
      <c r="AZ20" s="37"/>
      <c r="BA20" s="71">
        <f t="shared" si="14"/>
        <v>0</v>
      </c>
      <c r="BB20" s="39"/>
      <c r="BC20" s="37">
        <v>1</v>
      </c>
      <c r="BD20" s="36"/>
      <c r="BE20" s="71">
        <f t="shared" si="15"/>
        <v>0</v>
      </c>
      <c r="BF20" s="36"/>
      <c r="BG20" s="73">
        <f t="shared" si="16"/>
        <v>0</v>
      </c>
      <c r="BH20" s="74">
        <f t="shared" si="17"/>
        <v>0</v>
      </c>
      <c r="BI20" s="75">
        <f t="shared" si="18"/>
        <v>0</v>
      </c>
      <c r="BJ20" s="90">
        <v>2000</v>
      </c>
    </row>
    <row r="21" spans="1:62" ht="62.25" customHeight="1" thickBot="1" x14ac:dyDescent="0.3">
      <c r="B21" s="34">
        <v>8</v>
      </c>
      <c r="C21" s="94"/>
      <c r="D21" s="111"/>
      <c r="E21" s="88" t="s">
        <v>42</v>
      </c>
      <c r="F21" s="35" t="s">
        <v>48</v>
      </c>
      <c r="G21" s="36">
        <v>1</v>
      </c>
      <c r="H21" s="36"/>
      <c r="I21" s="71">
        <f t="shared" si="0"/>
        <v>0</v>
      </c>
      <c r="J21" s="36"/>
      <c r="K21" s="36">
        <v>1</v>
      </c>
      <c r="L21" s="36"/>
      <c r="M21" s="71">
        <f t="shared" si="1"/>
        <v>0</v>
      </c>
      <c r="N21" s="36"/>
      <c r="O21" s="36">
        <v>1</v>
      </c>
      <c r="P21" s="36"/>
      <c r="Q21" s="71">
        <f t="shared" si="2"/>
        <v>0</v>
      </c>
      <c r="R21" s="36"/>
      <c r="S21" s="73">
        <f t="shared" si="3"/>
        <v>0</v>
      </c>
      <c r="T21" s="36">
        <v>1</v>
      </c>
      <c r="U21" s="36"/>
      <c r="V21" s="71">
        <f t="shared" si="4"/>
        <v>0</v>
      </c>
      <c r="W21" s="36"/>
      <c r="X21" s="36">
        <v>1</v>
      </c>
      <c r="Y21" s="36"/>
      <c r="Z21" s="71">
        <f t="shared" si="5"/>
        <v>0</v>
      </c>
      <c r="AA21" s="36"/>
      <c r="AB21" s="36">
        <v>1</v>
      </c>
      <c r="AC21" s="36"/>
      <c r="AD21" s="71">
        <f t="shared" si="6"/>
        <v>0</v>
      </c>
      <c r="AE21" s="36"/>
      <c r="AF21" s="73">
        <f t="shared" si="7"/>
        <v>0</v>
      </c>
      <c r="AG21" s="77">
        <f t="shared" si="8"/>
        <v>0</v>
      </c>
      <c r="AH21" s="36">
        <v>1</v>
      </c>
      <c r="AI21" s="36"/>
      <c r="AJ21" s="71">
        <f t="shared" si="9"/>
        <v>0</v>
      </c>
      <c r="AK21" s="36"/>
      <c r="AL21" s="36">
        <v>1</v>
      </c>
      <c r="AM21" s="36"/>
      <c r="AN21" s="71">
        <f t="shared" si="10"/>
        <v>0</v>
      </c>
      <c r="AO21" s="36"/>
      <c r="AP21" s="36">
        <v>1</v>
      </c>
      <c r="AQ21" s="36"/>
      <c r="AR21" s="71">
        <f t="shared" si="11"/>
        <v>0</v>
      </c>
      <c r="AS21" s="36"/>
      <c r="AT21" s="73">
        <f t="shared" si="12"/>
        <v>0</v>
      </c>
      <c r="AU21" s="36">
        <v>1</v>
      </c>
      <c r="AV21" s="36"/>
      <c r="AW21" s="71">
        <f t="shared" si="13"/>
        <v>0</v>
      </c>
      <c r="AX21" s="39"/>
      <c r="AY21" s="37">
        <v>1</v>
      </c>
      <c r="AZ21" s="37"/>
      <c r="BA21" s="71">
        <f t="shared" si="14"/>
        <v>0</v>
      </c>
      <c r="BB21" s="39"/>
      <c r="BC21" s="37">
        <v>1</v>
      </c>
      <c r="BD21" s="36"/>
      <c r="BE21" s="71">
        <f t="shared" si="15"/>
        <v>0</v>
      </c>
      <c r="BF21" s="36"/>
      <c r="BG21" s="73">
        <f t="shared" si="16"/>
        <v>0</v>
      </c>
      <c r="BH21" s="74">
        <f t="shared" si="17"/>
        <v>0</v>
      </c>
      <c r="BI21" s="75">
        <f t="shared" si="18"/>
        <v>0</v>
      </c>
      <c r="BJ21" s="91"/>
    </row>
    <row r="22" spans="1:62" ht="62.25" customHeight="1" thickBot="1" x14ac:dyDescent="0.3">
      <c r="B22" s="34">
        <v>9</v>
      </c>
      <c r="C22" s="94"/>
      <c r="D22" s="109"/>
      <c r="E22" s="88" t="s">
        <v>43</v>
      </c>
      <c r="F22" s="35" t="s">
        <v>48</v>
      </c>
      <c r="G22" s="86">
        <v>1</v>
      </c>
      <c r="H22" s="86"/>
      <c r="I22" s="71">
        <f t="shared" si="0"/>
        <v>0</v>
      </c>
      <c r="J22" s="38"/>
      <c r="K22" s="37">
        <v>1</v>
      </c>
      <c r="L22" s="37"/>
      <c r="M22" s="71">
        <f t="shared" si="1"/>
        <v>0</v>
      </c>
      <c r="N22" s="39"/>
      <c r="O22" s="80">
        <v>1</v>
      </c>
      <c r="P22" s="37"/>
      <c r="Q22" s="71">
        <f t="shared" si="2"/>
        <v>0</v>
      </c>
      <c r="R22" s="39"/>
      <c r="S22" s="73">
        <f t="shared" si="3"/>
        <v>0</v>
      </c>
      <c r="T22" s="37">
        <v>1</v>
      </c>
      <c r="U22" s="37"/>
      <c r="V22" s="71">
        <f t="shared" si="4"/>
        <v>0</v>
      </c>
      <c r="W22" s="39"/>
      <c r="X22" s="37">
        <v>1</v>
      </c>
      <c r="Y22" s="37"/>
      <c r="Z22" s="71">
        <f t="shared" si="5"/>
        <v>0</v>
      </c>
      <c r="AA22" s="39"/>
      <c r="AB22" s="37">
        <v>1</v>
      </c>
      <c r="AC22" s="37"/>
      <c r="AD22" s="71">
        <f t="shared" si="6"/>
        <v>0</v>
      </c>
      <c r="AE22" s="39"/>
      <c r="AF22" s="73">
        <f t="shared" si="7"/>
        <v>0</v>
      </c>
      <c r="AG22" s="77">
        <f t="shared" si="8"/>
        <v>0</v>
      </c>
      <c r="AH22" s="40">
        <v>1</v>
      </c>
      <c r="AI22" s="37"/>
      <c r="AJ22" s="71">
        <f t="shared" si="9"/>
        <v>0</v>
      </c>
      <c r="AK22" s="39"/>
      <c r="AL22" s="37">
        <v>1</v>
      </c>
      <c r="AM22" s="37"/>
      <c r="AN22" s="71">
        <f t="shared" si="10"/>
        <v>0</v>
      </c>
      <c r="AO22" s="39"/>
      <c r="AP22" s="37">
        <v>1</v>
      </c>
      <c r="AQ22" s="37"/>
      <c r="AR22" s="71">
        <f t="shared" si="11"/>
        <v>0</v>
      </c>
      <c r="AS22" s="39"/>
      <c r="AT22" s="73">
        <f t="shared" si="12"/>
        <v>0</v>
      </c>
      <c r="AU22" s="37">
        <v>1</v>
      </c>
      <c r="AV22" s="37"/>
      <c r="AW22" s="71">
        <f t="shared" si="13"/>
        <v>0</v>
      </c>
      <c r="AX22" s="39"/>
      <c r="AY22" s="37">
        <v>1</v>
      </c>
      <c r="AZ22" s="37"/>
      <c r="BA22" s="71">
        <f t="shared" si="14"/>
        <v>0</v>
      </c>
      <c r="BB22" s="39"/>
      <c r="BC22" s="37">
        <v>1</v>
      </c>
      <c r="BD22" s="36"/>
      <c r="BE22" s="71">
        <f t="shared" si="15"/>
        <v>0</v>
      </c>
      <c r="BF22" s="36"/>
      <c r="BG22" s="73">
        <f t="shared" si="16"/>
        <v>0</v>
      </c>
      <c r="BH22" s="74">
        <f t="shared" si="17"/>
        <v>0</v>
      </c>
      <c r="BI22" s="75">
        <f t="shared" si="18"/>
        <v>0</v>
      </c>
      <c r="BJ22" s="91"/>
    </row>
    <row r="23" spans="1:62" ht="62.25" customHeight="1" thickBot="1" x14ac:dyDescent="0.3">
      <c r="B23" s="34">
        <v>10</v>
      </c>
      <c r="C23" s="94"/>
      <c r="D23" s="89" t="s">
        <v>44</v>
      </c>
      <c r="E23" s="88" t="s">
        <v>44</v>
      </c>
      <c r="F23" s="35" t="s">
        <v>41</v>
      </c>
      <c r="G23" s="36"/>
      <c r="H23" s="36"/>
      <c r="I23" s="71" t="str">
        <f t="shared" si="0"/>
        <v>Actividad no programada</v>
      </c>
      <c r="J23" s="36"/>
      <c r="K23" s="36"/>
      <c r="L23" s="36"/>
      <c r="M23" s="71" t="str">
        <f t="shared" si="1"/>
        <v>Actividad no programada</v>
      </c>
      <c r="N23" s="36"/>
      <c r="O23" s="36"/>
      <c r="P23" s="36"/>
      <c r="Q23" s="71" t="str">
        <f t="shared" si="2"/>
        <v>Actividad no programada</v>
      </c>
      <c r="R23" s="36"/>
      <c r="S23" s="73" t="str">
        <f t="shared" si="3"/>
        <v>VALORES NO COLOCADOS</v>
      </c>
      <c r="T23" s="36"/>
      <c r="U23" s="36"/>
      <c r="V23" s="71" t="str">
        <f t="shared" si="4"/>
        <v>Actividad no programada</v>
      </c>
      <c r="W23" s="36"/>
      <c r="X23" s="36"/>
      <c r="Y23" s="36"/>
      <c r="Z23" s="71" t="str">
        <f t="shared" si="5"/>
        <v>Actividad no programada</v>
      </c>
      <c r="AA23" s="36"/>
      <c r="AB23" s="36"/>
      <c r="AC23" s="36"/>
      <c r="AD23" s="71" t="str">
        <f t="shared" si="6"/>
        <v>Actividad no programada</v>
      </c>
      <c r="AE23" s="36"/>
      <c r="AF23" s="73" t="str">
        <f t="shared" si="7"/>
        <v>VALORES NO COLOCADOS</v>
      </c>
      <c r="AG23" s="77" t="str">
        <f t="shared" si="8"/>
        <v>VALORES NO COLOCADOS</v>
      </c>
      <c r="AH23" s="36">
        <v>1</v>
      </c>
      <c r="AI23" s="36"/>
      <c r="AJ23" s="71">
        <f t="shared" si="9"/>
        <v>0</v>
      </c>
      <c r="AK23" s="36"/>
      <c r="AL23" s="36"/>
      <c r="AM23" s="36"/>
      <c r="AN23" s="71" t="str">
        <f t="shared" si="10"/>
        <v>Actividad no programada</v>
      </c>
      <c r="AO23" s="36"/>
      <c r="AP23" s="36"/>
      <c r="AQ23" s="36"/>
      <c r="AR23" s="71" t="str">
        <f t="shared" si="11"/>
        <v>Actividad no programada</v>
      </c>
      <c r="AS23" s="36"/>
      <c r="AT23" s="73">
        <f t="shared" si="12"/>
        <v>0</v>
      </c>
      <c r="AU23" s="36"/>
      <c r="AV23" s="36"/>
      <c r="AW23" s="71" t="str">
        <f t="shared" si="13"/>
        <v>Actividad no programada</v>
      </c>
      <c r="AX23" s="39"/>
      <c r="AY23" s="37"/>
      <c r="AZ23" s="37"/>
      <c r="BA23" s="71" t="str">
        <f t="shared" si="14"/>
        <v>Actividad no programada</v>
      </c>
      <c r="BB23" s="39"/>
      <c r="BC23" s="37"/>
      <c r="BD23" s="36"/>
      <c r="BE23" s="71" t="str">
        <f t="shared" si="15"/>
        <v>Actividad no programada</v>
      </c>
      <c r="BF23" s="36"/>
      <c r="BG23" s="73" t="str">
        <f t="shared" si="16"/>
        <v>VALORES NO COLOCADOS</v>
      </c>
      <c r="BH23" s="74">
        <f t="shared" si="17"/>
        <v>0</v>
      </c>
      <c r="BI23" s="75">
        <f t="shared" si="18"/>
        <v>0</v>
      </c>
      <c r="BJ23" s="53"/>
    </row>
    <row r="24" spans="1:62" ht="62.25" customHeight="1" thickBot="1" x14ac:dyDescent="0.3">
      <c r="B24" s="34">
        <v>11</v>
      </c>
      <c r="C24" s="94"/>
      <c r="D24" s="89" t="s">
        <v>51</v>
      </c>
      <c r="E24" s="88" t="s">
        <v>45</v>
      </c>
      <c r="F24" s="35" t="s">
        <v>50</v>
      </c>
      <c r="G24" s="36">
        <v>1</v>
      </c>
      <c r="H24" s="36"/>
      <c r="I24" s="71">
        <f t="shared" si="0"/>
        <v>0</v>
      </c>
      <c r="J24" s="36"/>
      <c r="K24" s="36">
        <v>1</v>
      </c>
      <c r="L24" s="36"/>
      <c r="M24" s="71">
        <f t="shared" si="1"/>
        <v>0</v>
      </c>
      <c r="N24" s="36"/>
      <c r="O24" s="36">
        <v>1</v>
      </c>
      <c r="P24" s="36"/>
      <c r="Q24" s="71">
        <f t="shared" si="2"/>
        <v>0</v>
      </c>
      <c r="R24" s="36"/>
      <c r="S24" s="73">
        <f t="shared" si="3"/>
        <v>0</v>
      </c>
      <c r="T24" s="36">
        <v>1</v>
      </c>
      <c r="U24" s="36"/>
      <c r="V24" s="71">
        <f t="shared" si="4"/>
        <v>0</v>
      </c>
      <c r="W24" s="36"/>
      <c r="X24" s="36">
        <v>1</v>
      </c>
      <c r="Y24" s="36"/>
      <c r="Z24" s="71">
        <f t="shared" si="5"/>
        <v>0</v>
      </c>
      <c r="AA24" s="36"/>
      <c r="AB24" s="36">
        <v>1</v>
      </c>
      <c r="AC24" s="36"/>
      <c r="AD24" s="71">
        <f t="shared" si="6"/>
        <v>0</v>
      </c>
      <c r="AE24" s="36"/>
      <c r="AF24" s="73">
        <f t="shared" si="7"/>
        <v>0</v>
      </c>
      <c r="AG24" s="77">
        <f t="shared" si="8"/>
        <v>0</v>
      </c>
      <c r="AH24" s="36">
        <v>1</v>
      </c>
      <c r="AI24" s="36"/>
      <c r="AJ24" s="71">
        <f t="shared" si="9"/>
        <v>0</v>
      </c>
      <c r="AK24" s="36"/>
      <c r="AL24" s="36">
        <v>1</v>
      </c>
      <c r="AM24" s="36"/>
      <c r="AN24" s="71">
        <f t="shared" si="10"/>
        <v>0</v>
      </c>
      <c r="AO24" s="36"/>
      <c r="AP24" s="36">
        <v>1</v>
      </c>
      <c r="AQ24" s="36"/>
      <c r="AR24" s="71">
        <f t="shared" si="11"/>
        <v>0</v>
      </c>
      <c r="AS24" s="36"/>
      <c r="AT24" s="73">
        <f t="shared" si="12"/>
        <v>0</v>
      </c>
      <c r="AU24" s="36">
        <v>1</v>
      </c>
      <c r="AV24" s="36"/>
      <c r="AW24" s="71">
        <f t="shared" si="13"/>
        <v>0</v>
      </c>
      <c r="AX24" s="39"/>
      <c r="AY24" s="37">
        <v>1</v>
      </c>
      <c r="AZ24" s="37"/>
      <c r="BA24" s="71">
        <f t="shared" si="14"/>
        <v>0</v>
      </c>
      <c r="BB24" s="39"/>
      <c r="BC24" s="37">
        <v>1</v>
      </c>
      <c r="BD24" s="36"/>
      <c r="BE24" s="71">
        <f t="shared" si="15"/>
        <v>0</v>
      </c>
      <c r="BF24" s="36"/>
      <c r="BG24" s="73">
        <f t="shared" si="16"/>
        <v>0</v>
      </c>
      <c r="BH24" s="74">
        <f t="shared" si="17"/>
        <v>0</v>
      </c>
      <c r="BI24" s="75">
        <f t="shared" si="18"/>
        <v>0</v>
      </c>
      <c r="BJ24" s="53">
        <v>1423800</v>
      </c>
    </row>
    <row r="25" spans="1:62" ht="62.25" customHeight="1" x14ac:dyDescent="0.25">
      <c r="B25" s="34">
        <v>12</v>
      </c>
      <c r="C25" s="95"/>
      <c r="D25" s="89" t="s">
        <v>46</v>
      </c>
      <c r="E25" s="88" t="s">
        <v>47</v>
      </c>
      <c r="F25" s="35" t="s">
        <v>41</v>
      </c>
      <c r="G25" s="36">
        <v>1</v>
      </c>
      <c r="H25" s="36"/>
      <c r="I25" s="71">
        <f t="shared" si="0"/>
        <v>0</v>
      </c>
      <c r="J25" s="36"/>
      <c r="K25" s="36"/>
      <c r="L25" s="36"/>
      <c r="M25" s="71" t="str">
        <f t="shared" si="1"/>
        <v>Actividad no programada</v>
      </c>
      <c r="N25" s="36"/>
      <c r="O25" s="36"/>
      <c r="P25" s="36"/>
      <c r="Q25" s="71" t="str">
        <f t="shared" si="2"/>
        <v>Actividad no programada</v>
      </c>
      <c r="R25" s="36"/>
      <c r="S25" s="73">
        <f t="shared" si="3"/>
        <v>0</v>
      </c>
      <c r="T25" s="36"/>
      <c r="U25" s="36"/>
      <c r="V25" s="71" t="str">
        <f t="shared" si="4"/>
        <v>Actividad no programada</v>
      </c>
      <c r="W25" s="36"/>
      <c r="X25" s="36"/>
      <c r="Y25" s="36"/>
      <c r="Z25" s="71" t="str">
        <f t="shared" si="5"/>
        <v>Actividad no programada</v>
      </c>
      <c r="AA25" s="36"/>
      <c r="AB25" s="36"/>
      <c r="AC25" s="36"/>
      <c r="AD25" s="71" t="str">
        <f t="shared" si="6"/>
        <v>Actividad no programada</v>
      </c>
      <c r="AE25" s="36"/>
      <c r="AF25" s="73" t="str">
        <f t="shared" si="7"/>
        <v>VALORES NO COLOCADOS</v>
      </c>
      <c r="AG25" s="77">
        <f t="shared" si="8"/>
        <v>0</v>
      </c>
      <c r="AH25" s="36"/>
      <c r="AI25" s="36"/>
      <c r="AJ25" s="71" t="str">
        <f t="shared" si="9"/>
        <v>Actividad no programada</v>
      </c>
      <c r="AK25" s="36"/>
      <c r="AL25" s="36"/>
      <c r="AM25" s="36"/>
      <c r="AN25" s="71" t="str">
        <f t="shared" si="10"/>
        <v>Actividad no programada</v>
      </c>
      <c r="AO25" s="36"/>
      <c r="AP25" s="36"/>
      <c r="AQ25" s="36"/>
      <c r="AR25" s="71" t="str">
        <f t="shared" si="11"/>
        <v>Actividad no programada</v>
      </c>
      <c r="AS25" s="36"/>
      <c r="AT25" s="73" t="str">
        <f t="shared" si="12"/>
        <v>VALORES NO COLOCADOS</v>
      </c>
      <c r="AU25" s="36"/>
      <c r="AV25" s="36"/>
      <c r="AW25" s="71" t="str">
        <f t="shared" si="13"/>
        <v>Actividad no programada</v>
      </c>
      <c r="AX25" s="39"/>
      <c r="AY25" s="37"/>
      <c r="AZ25" s="37"/>
      <c r="BA25" s="71" t="str">
        <f t="shared" si="14"/>
        <v>Actividad no programada</v>
      </c>
      <c r="BB25" s="39"/>
      <c r="BC25" s="37"/>
      <c r="BD25" s="36"/>
      <c r="BE25" s="71" t="str">
        <f t="shared" si="15"/>
        <v>Actividad no programada</v>
      </c>
      <c r="BF25" s="36"/>
      <c r="BG25" s="73" t="str">
        <f t="shared" si="16"/>
        <v>VALORES NO COLOCADOS</v>
      </c>
      <c r="BH25" s="74" t="str">
        <f t="shared" si="17"/>
        <v>VALORES NO COLOCADOS</v>
      </c>
      <c r="BI25" s="75">
        <f t="shared" si="18"/>
        <v>0</v>
      </c>
      <c r="BJ25" s="53">
        <v>12000</v>
      </c>
    </row>
    <row r="26" spans="1:62" ht="38.25" customHeight="1" x14ac:dyDescent="0.25">
      <c r="B26" s="42"/>
      <c r="C26" s="43" t="s">
        <v>28</v>
      </c>
      <c r="D26" s="44"/>
      <c r="E26" s="44"/>
      <c r="F26" s="45"/>
      <c r="G26" s="43"/>
      <c r="H26" s="44"/>
      <c r="I26" s="44"/>
      <c r="J26" s="44"/>
      <c r="K26" s="44"/>
      <c r="L26" s="44"/>
      <c r="M26" s="44"/>
      <c r="N26" s="44"/>
      <c r="O26" s="44"/>
      <c r="P26" s="44"/>
      <c r="Q26" s="44"/>
      <c r="R26" s="44"/>
      <c r="S26" s="79" t="str">
        <f>IF(COUNTIF(S27:S41,"100%")&gt;0,"100%","VALORES NO COLOCADOS")</f>
        <v>VALORES NO COLOCADOS</v>
      </c>
      <c r="T26" s="44"/>
      <c r="U26" s="44"/>
      <c r="V26" s="44"/>
      <c r="W26" s="44"/>
      <c r="X26" s="44"/>
      <c r="Y26" s="44"/>
      <c r="Z26" s="44"/>
      <c r="AA26" s="44"/>
      <c r="AB26" s="44"/>
      <c r="AC26" s="44"/>
      <c r="AD26" s="44"/>
      <c r="AE26" s="44"/>
      <c r="AF26" s="79" t="str">
        <f>IF(COUNTIF(AF27:AF41,"100%")&gt;0,"100%","VALORES NO COLOCADOS")</f>
        <v>VALORES NO COLOCADOS</v>
      </c>
      <c r="AG26" s="79" t="str">
        <f>IF(COUNTIF(AG27:AG41,"100%")&gt;0,"100%","VALORES NO COLOCADOS")</f>
        <v>VALORES NO COLOCADOS</v>
      </c>
      <c r="AH26" s="79"/>
      <c r="AI26" s="44"/>
      <c r="AJ26" s="44"/>
      <c r="AK26" s="44"/>
      <c r="AL26" s="44"/>
      <c r="AM26" s="44"/>
      <c r="AN26" s="44"/>
      <c r="AO26" s="44"/>
      <c r="AP26" s="44"/>
      <c r="AQ26" s="44"/>
      <c r="AR26" s="44"/>
      <c r="AS26" s="44"/>
      <c r="AT26" s="79" t="str">
        <f>IF(COUNTIF(AT27:AT41,"100%")&gt;0,"100%","VALORES NO COLOCADOS")</f>
        <v>VALORES NO COLOCADOS</v>
      </c>
      <c r="AU26" s="44"/>
      <c r="AV26" s="44"/>
      <c r="AW26" s="44"/>
      <c r="AX26" s="44"/>
      <c r="AY26" s="44"/>
      <c r="AZ26" s="44"/>
      <c r="BA26" s="44"/>
      <c r="BB26" s="44"/>
      <c r="BC26" s="44"/>
      <c r="BD26" s="44"/>
      <c r="BE26" s="44"/>
      <c r="BF26" s="44"/>
      <c r="BG26" s="79" t="str">
        <f>IF(COUNTIF(BG27:BG41,"100%")&gt;0,"100%","VALORES NO COLOCADOS")</f>
        <v>VALORES NO COLOCADOS</v>
      </c>
      <c r="BH26" s="79" t="str">
        <f>IF(COUNTIF(BH27:BH41,"100%")&gt;0,"100%","VALORES NO COLOCADOS")</f>
        <v>VALORES NO COLOCADOS</v>
      </c>
      <c r="BI26" s="79" t="str">
        <f>IF(COUNTIF(BI27:BI41,"100%")&gt;0,"100%","VALORES NO COLOCADOS")</f>
        <v>VALORES NO COLOCADOS</v>
      </c>
      <c r="BJ26" s="45"/>
    </row>
    <row r="27" spans="1:62" ht="86.25" customHeight="1" x14ac:dyDescent="0.25">
      <c r="A27" s="34"/>
      <c r="B27" s="46">
        <v>1</v>
      </c>
      <c r="C27" s="35"/>
      <c r="D27" s="35"/>
      <c r="E27" s="36"/>
      <c r="F27" s="35"/>
      <c r="G27" s="72" t="s">
        <v>31</v>
      </c>
      <c r="H27" s="36"/>
      <c r="I27" s="47" t="str">
        <f t="shared" ref="I27:I41" si="19">IF(H27&gt;=1,"100%","0")</f>
        <v>0</v>
      </c>
      <c r="J27" s="35"/>
      <c r="K27" s="72" t="s">
        <v>31</v>
      </c>
      <c r="L27" s="36"/>
      <c r="M27" s="47" t="str">
        <f t="shared" ref="M27:M41" si="20">IF(L27&gt;=1,"100%","0")</f>
        <v>0</v>
      </c>
      <c r="N27" s="35"/>
      <c r="O27" s="72" t="s">
        <v>31</v>
      </c>
      <c r="P27" s="36"/>
      <c r="Q27" s="47" t="str">
        <f t="shared" ref="Q27:Q41" si="21">IF(P27&gt;=1,"100%","0")</f>
        <v>0</v>
      </c>
      <c r="R27" s="36"/>
      <c r="S27" s="76" t="str">
        <f t="shared" ref="S27:S41" si="22">IF(OR(I27="100%",M27="100%",Q27="100%"),"100%","VALORES NO COLOCADOS")</f>
        <v>VALORES NO COLOCADOS</v>
      </c>
      <c r="T27" s="72" t="s">
        <v>31</v>
      </c>
      <c r="U27" s="36"/>
      <c r="V27" s="47" t="str">
        <f t="shared" ref="V27:V41" si="23">IF(U27&gt;=1,"100%","0")</f>
        <v>0</v>
      </c>
      <c r="W27" s="36"/>
      <c r="X27" s="72" t="s">
        <v>31</v>
      </c>
      <c r="Y27" s="36"/>
      <c r="Z27" s="47" t="str">
        <f t="shared" ref="Z27:Z41" si="24">IF(Y27&gt;=1,"100%","0")</f>
        <v>0</v>
      </c>
      <c r="AA27" s="36"/>
      <c r="AB27" s="72" t="s">
        <v>31</v>
      </c>
      <c r="AC27" s="36"/>
      <c r="AD27" s="47" t="str">
        <f t="shared" ref="AD27:AD41" si="25">IF(AC27&gt;=1,"100%","0")</f>
        <v>0</v>
      </c>
      <c r="AE27" s="36"/>
      <c r="AF27" s="76" t="str">
        <f t="shared" ref="AF27:AF41" si="26">IF(OR(V27="100%",Z27="100%",AD27="100%"),"100%","VALORES NO COLOCADOS")</f>
        <v>VALORES NO COLOCADOS</v>
      </c>
      <c r="AG27" s="77" t="str">
        <f t="shared" ref="AG27:AG41" si="27">IF(OR(S27="100%",AF27="100%"),"100%","VALORES NO COLOCADOS")</f>
        <v>VALORES NO COLOCADOS</v>
      </c>
      <c r="AH27" s="72" t="s">
        <v>31</v>
      </c>
      <c r="AI27" s="36"/>
      <c r="AJ27" s="47" t="str">
        <f t="shared" ref="AJ27:AJ41" si="28">IF(AI27&gt;=1,"100%","0")</f>
        <v>0</v>
      </c>
      <c r="AK27" s="36"/>
      <c r="AL27" s="72" t="s">
        <v>31</v>
      </c>
      <c r="AM27" s="36"/>
      <c r="AN27" s="47" t="str">
        <f t="shared" ref="AN27:AN41" si="29">IF(AM27&gt;=1,"100%","0")</f>
        <v>0</v>
      </c>
      <c r="AO27" s="36"/>
      <c r="AP27" s="72" t="s">
        <v>31</v>
      </c>
      <c r="AQ27" s="36"/>
      <c r="AR27" s="47" t="str">
        <f t="shared" ref="AR27:AR41" si="30">IF(AQ27&gt;=1,"100%","0")</f>
        <v>0</v>
      </c>
      <c r="AS27" s="36"/>
      <c r="AT27" s="76" t="str">
        <f t="shared" ref="AT27:AT41" si="31">IF(OR(AJ27="100%",AN27="100%",AR27="100%"),"100%","VALORES NO COLOCADOS")</f>
        <v>VALORES NO COLOCADOS</v>
      </c>
      <c r="AU27" s="72" t="s">
        <v>31</v>
      </c>
      <c r="AV27" s="36"/>
      <c r="AW27" s="47" t="str">
        <f t="shared" ref="AW27:AW41" si="32">IF(AV27&gt;=1,"100%","0")</f>
        <v>0</v>
      </c>
      <c r="AX27" s="36"/>
      <c r="AY27" s="72" t="s">
        <v>31</v>
      </c>
      <c r="AZ27" s="36"/>
      <c r="BA27" s="47" t="str">
        <f t="shared" ref="BA27:BA41" si="33">IF(AZ27&gt;=1,"100%","0")</f>
        <v>0</v>
      </c>
      <c r="BB27" s="36"/>
      <c r="BC27" s="72" t="s">
        <v>31</v>
      </c>
      <c r="BD27" s="36"/>
      <c r="BE27" s="47" t="str">
        <f t="shared" ref="BE27:BE41" si="34">IF(BD27&gt;=1,"100%","0")</f>
        <v>0</v>
      </c>
      <c r="BF27" s="36"/>
      <c r="BG27" s="76" t="str">
        <f t="shared" ref="BG27:BG41" si="35">IF(OR(AW27="100%",BA27="100%",BE27="100%"),"100%","VALORES NO COLOCADOS")</f>
        <v>VALORES NO COLOCADOS</v>
      </c>
      <c r="BH27" s="77" t="str">
        <f t="shared" ref="BH27:BH41" si="36">IF(OR(AT27="100%",BG27="100%"),"100%","VALORES NO COLOCADOS")</f>
        <v>VALORES NO COLOCADOS</v>
      </c>
      <c r="BI27" s="78" t="str">
        <f t="shared" ref="BI27:BI41" si="37">IF(OR(AG27="100%",BH27="100%"),"100%","VALORES NO COLOCADOS")</f>
        <v>VALORES NO COLOCADOS</v>
      </c>
      <c r="BJ27" s="41"/>
    </row>
    <row r="28" spans="1:62" ht="86.25" customHeight="1" x14ac:dyDescent="0.25">
      <c r="A28" s="12"/>
      <c r="B28" s="46">
        <v>2</v>
      </c>
      <c r="C28" s="35"/>
      <c r="D28" s="35"/>
      <c r="E28" s="36"/>
      <c r="F28" s="35"/>
      <c r="G28" s="72" t="s">
        <v>31</v>
      </c>
      <c r="H28" s="36"/>
      <c r="I28" s="47" t="str">
        <f t="shared" si="19"/>
        <v>0</v>
      </c>
      <c r="J28" s="35"/>
      <c r="K28" s="72" t="s">
        <v>31</v>
      </c>
      <c r="L28" s="36"/>
      <c r="M28" s="47" t="str">
        <f t="shared" si="20"/>
        <v>0</v>
      </c>
      <c r="N28" s="35"/>
      <c r="O28" s="72" t="s">
        <v>31</v>
      </c>
      <c r="P28" s="36"/>
      <c r="Q28" s="47" t="str">
        <f t="shared" si="21"/>
        <v>0</v>
      </c>
      <c r="R28" s="36"/>
      <c r="S28" s="76" t="str">
        <f t="shared" si="22"/>
        <v>VALORES NO COLOCADOS</v>
      </c>
      <c r="T28" s="72" t="s">
        <v>31</v>
      </c>
      <c r="U28" s="36"/>
      <c r="V28" s="47" t="str">
        <f t="shared" si="23"/>
        <v>0</v>
      </c>
      <c r="W28" s="36"/>
      <c r="X28" s="72" t="s">
        <v>31</v>
      </c>
      <c r="Y28" s="36"/>
      <c r="Z28" s="47" t="str">
        <f t="shared" si="24"/>
        <v>0</v>
      </c>
      <c r="AA28" s="36"/>
      <c r="AB28" s="72" t="s">
        <v>31</v>
      </c>
      <c r="AC28" s="36"/>
      <c r="AD28" s="47" t="str">
        <f t="shared" si="25"/>
        <v>0</v>
      </c>
      <c r="AE28" s="36"/>
      <c r="AF28" s="76" t="str">
        <f t="shared" si="26"/>
        <v>VALORES NO COLOCADOS</v>
      </c>
      <c r="AG28" s="77" t="str">
        <f t="shared" si="27"/>
        <v>VALORES NO COLOCADOS</v>
      </c>
      <c r="AH28" s="72" t="s">
        <v>31</v>
      </c>
      <c r="AI28" s="36"/>
      <c r="AJ28" s="47" t="str">
        <f t="shared" si="28"/>
        <v>0</v>
      </c>
      <c r="AK28" s="36"/>
      <c r="AL28" s="72" t="s">
        <v>31</v>
      </c>
      <c r="AM28" s="36"/>
      <c r="AN28" s="47" t="str">
        <f t="shared" si="29"/>
        <v>0</v>
      </c>
      <c r="AO28" s="36"/>
      <c r="AP28" s="72" t="s">
        <v>31</v>
      </c>
      <c r="AQ28" s="36"/>
      <c r="AR28" s="47" t="str">
        <f t="shared" si="30"/>
        <v>0</v>
      </c>
      <c r="AS28" s="36"/>
      <c r="AT28" s="76" t="str">
        <f t="shared" si="31"/>
        <v>VALORES NO COLOCADOS</v>
      </c>
      <c r="AU28" s="72" t="s">
        <v>31</v>
      </c>
      <c r="AV28" s="36"/>
      <c r="AW28" s="47" t="str">
        <f t="shared" si="32"/>
        <v>0</v>
      </c>
      <c r="AX28" s="36"/>
      <c r="AY28" s="72" t="s">
        <v>31</v>
      </c>
      <c r="AZ28" s="36"/>
      <c r="BA28" s="47" t="str">
        <f t="shared" si="33"/>
        <v>0</v>
      </c>
      <c r="BB28" s="36"/>
      <c r="BC28" s="72" t="s">
        <v>31</v>
      </c>
      <c r="BD28" s="36"/>
      <c r="BE28" s="47" t="str">
        <f t="shared" si="34"/>
        <v>0</v>
      </c>
      <c r="BF28" s="36"/>
      <c r="BG28" s="76" t="str">
        <f t="shared" si="35"/>
        <v>VALORES NO COLOCADOS</v>
      </c>
      <c r="BH28" s="77" t="str">
        <f t="shared" si="36"/>
        <v>VALORES NO COLOCADOS</v>
      </c>
      <c r="BI28" s="78" t="str">
        <f t="shared" si="37"/>
        <v>VALORES NO COLOCADOS</v>
      </c>
      <c r="BJ28" s="41"/>
    </row>
    <row r="29" spans="1:62" ht="86.25" customHeight="1" x14ac:dyDescent="0.25">
      <c r="A29" s="12"/>
      <c r="B29" s="46">
        <v>3</v>
      </c>
      <c r="C29" s="35"/>
      <c r="D29" s="35"/>
      <c r="E29" s="36"/>
      <c r="F29" s="35"/>
      <c r="G29" s="72" t="s">
        <v>31</v>
      </c>
      <c r="H29" s="36"/>
      <c r="I29" s="47" t="str">
        <f t="shared" si="19"/>
        <v>0</v>
      </c>
      <c r="J29" s="35"/>
      <c r="K29" s="72" t="s">
        <v>31</v>
      </c>
      <c r="L29" s="36"/>
      <c r="M29" s="47" t="str">
        <f t="shared" si="20"/>
        <v>0</v>
      </c>
      <c r="N29" s="35"/>
      <c r="O29" s="72" t="s">
        <v>31</v>
      </c>
      <c r="P29" s="36"/>
      <c r="Q29" s="47" t="str">
        <f t="shared" si="21"/>
        <v>0</v>
      </c>
      <c r="R29" s="36"/>
      <c r="S29" s="76" t="str">
        <f t="shared" si="22"/>
        <v>VALORES NO COLOCADOS</v>
      </c>
      <c r="T29" s="72" t="s">
        <v>31</v>
      </c>
      <c r="U29" s="36"/>
      <c r="V29" s="47" t="str">
        <f t="shared" si="23"/>
        <v>0</v>
      </c>
      <c r="W29" s="36"/>
      <c r="X29" s="72" t="s">
        <v>31</v>
      </c>
      <c r="Y29" s="36"/>
      <c r="Z29" s="47" t="str">
        <f t="shared" si="24"/>
        <v>0</v>
      </c>
      <c r="AA29" s="36"/>
      <c r="AB29" s="72" t="s">
        <v>31</v>
      </c>
      <c r="AC29" s="36"/>
      <c r="AD29" s="47" t="str">
        <f t="shared" si="25"/>
        <v>0</v>
      </c>
      <c r="AE29" s="36"/>
      <c r="AF29" s="76" t="str">
        <f t="shared" si="26"/>
        <v>VALORES NO COLOCADOS</v>
      </c>
      <c r="AG29" s="77" t="str">
        <f t="shared" si="27"/>
        <v>VALORES NO COLOCADOS</v>
      </c>
      <c r="AH29" s="72" t="s">
        <v>31</v>
      </c>
      <c r="AI29" s="36"/>
      <c r="AJ29" s="47" t="str">
        <f t="shared" si="28"/>
        <v>0</v>
      </c>
      <c r="AK29" s="36"/>
      <c r="AL29" s="72" t="s">
        <v>31</v>
      </c>
      <c r="AM29" s="36"/>
      <c r="AN29" s="47" t="str">
        <f t="shared" si="29"/>
        <v>0</v>
      </c>
      <c r="AO29" s="36"/>
      <c r="AP29" s="72" t="s">
        <v>31</v>
      </c>
      <c r="AQ29" s="36"/>
      <c r="AR29" s="47" t="str">
        <f t="shared" si="30"/>
        <v>0</v>
      </c>
      <c r="AS29" s="36"/>
      <c r="AT29" s="76" t="str">
        <f t="shared" si="31"/>
        <v>VALORES NO COLOCADOS</v>
      </c>
      <c r="AU29" s="72" t="s">
        <v>31</v>
      </c>
      <c r="AV29" s="36"/>
      <c r="AW29" s="47" t="str">
        <f t="shared" si="32"/>
        <v>0</v>
      </c>
      <c r="AX29" s="36"/>
      <c r="AY29" s="72" t="s">
        <v>31</v>
      </c>
      <c r="AZ29" s="36"/>
      <c r="BA29" s="47" t="str">
        <f t="shared" si="33"/>
        <v>0</v>
      </c>
      <c r="BB29" s="36"/>
      <c r="BC29" s="72" t="s">
        <v>31</v>
      </c>
      <c r="BD29" s="36"/>
      <c r="BE29" s="47" t="str">
        <f t="shared" si="34"/>
        <v>0</v>
      </c>
      <c r="BF29" s="36"/>
      <c r="BG29" s="76" t="str">
        <f t="shared" si="35"/>
        <v>VALORES NO COLOCADOS</v>
      </c>
      <c r="BH29" s="77" t="str">
        <f t="shared" si="36"/>
        <v>VALORES NO COLOCADOS</v>
      </c>
      <c r="BI29" s="78" t="str">
        <f t="shared" si="37"/>
        <v>VALORES NO COLOCADOS</v>
      </c>
      <c r="BJ29" s="41"/>
    </row>
    <row r="30" spans="1:62" ht="86.25" customHeight="1" x14ac:dyDescent="0.25">
      <c r="A30" s="12"/>
      <c r="B30" s="46">
        <v>4</v>
      </c>
      <c r="C30" s="35"/>
      <c r="D30" s="35"/>
      <c r="E30" s="36"/>
      <c r="F30" s="35"/>
      <c r="G30" s="72" t="s">
        <v>31</v>
      </c>
      <c r="H30" s="36"/>
      <c r="I30" s="47" t="str">
        <f t="shared" si="19"/>
        <v>0</v>
      </c>
      <c r="J30" s="35"/>
      <c r="K30" s="72" t="s">
        <v>31</v>
      </c>
      <c r="L30" s="36"/>
      <c r="M30" s="47" t="str">
        <f t="shared" si="20"/>
        <v>0</v>
      </c>
      <c r="N30" s="35"/>
      <c r="O30" s="72" t="s">
        <v>31</v>
      </c>
      <c r="P30" s="36"/>
      <c r="Q30" s="47" t="str">
        <f t="shared" si="21"/>
        <v>0</v>
      </c>
      <c r="R30" s="36"/>
      <c r="S30" s="76" t="str">
        <f t="shared" si="22"/>
        <v>VALORES NO COLOCADOS</v>
      </c>
      <c r="T30" s="72" t="s">
        <v>31</v>
      </c>
      <c r="U30" s="36"/>
      <c r="V30" s="47" t="str">
        <f t="shared" si="23"/>
        <v>0</v>
      </c>
      <c r="W30" s="36"/>
      <c r="X30" s="72" t="s">
        <v>31</v>
      </c>
      <c r="Y30" s="36"/>
      <c r="Z30" s="47" t="str">
        <f t="shared" si="24"/>
        <v>0</v>
      </c>
      <c r="AA30" s="36"/>
      <c r="AB30" s="72" t="s">
        <v>31</v>
      </c>
      <c r="AC30" s="36"/>
      <c r="AD30" s="47" t="str">
        <f t="shared" si="25"/>
        <v>0</v>
      </c>
      <c r="AE30" s="36"/>
      <c r="AF30" s="76" t="str">
        <f t="shared" si="26"/>
        <v>VALORES NO COLOCADOS</v>
      </c>
      <c r="AG30" s="77" t="str">
        <f t="shared" si="27"/>
        <v>VALORES NO COLOCADOS</v>
      </c>
      <c r="AH30" s="72" t="s">
        <v>31</v>
      </c>
      <c r="AI30" s="36"/>
      <c r="AJ30" s="47" t="str">
        <f t="shared" si="28"/>
        <v>0</v>
      </c>
      <c r="AK30" s="36"/>
      <c r="AL30" s="72" t="s">
        <v>31</v>
      </c>
      <c r="AM30" s="36"/>
      <c r="AN30" s="47" t="str">
        <f t="shared" si="29"/>
        <v>0</v>
      </c>
      <c r="AO30" s="36"/>
      <c r="AP30" s="72" t="s">
        <v>31</v>
      </c>
      <c r="AQ30" s="36"/>
      <c r="AR30" s="47" t="str">
        <f t="shared" si="30"/>
        <v>0</v>
      </c>
      <c r="AS30" s="36"/>
      <c r="AT30" s="76" t="str">
        <f t="shared" si="31"/>
        <v>VALORES NO COLOCADOS</v>
      </c>
      <c r="AU30" s="72" t="s">
        <v>31</v>
      </c>
      <c r="AV30" s="36"/>
      <c r="AW30" s="47" t="str">
        <f t="shared" si="32"/>
        <v>0</v>
      </c>
      <c r="AX30" s="36"/>
      <c r="AY30" s="72" t="s">
        <v>31</v>
      </c>
      <c r="AZ30" s="36"/>
      <c r="BA30" s="47" t="str">
        <f t="shared" si="33"/>
        <v>0</v>
      </c>
      <c r="BB30" s="36"/>
      <c r="BC30" s="72" t="s">
        <v>31</v>
      </c>
      <c r="BD30" s="36"/>
      <c r="BE30" s="47" t="str">
        <f t="shared" si="34"/>
        <v>0</v>
      </c>
      <c r="BF30" s="36"/>
      <c r="BG30" s="76" t="str">
        <f t="shared" si="35"/>
        <v>VALORES NO COLOCADOS</v>
      </c>
      <c r="BH30" s="77" t="str">
        <f t="shared" si="36"/>
        <v>VALORES NO COLOCADOS</v>
      </c>
      <c r="BI30" s="78" t="str">
        <f t="shared" si="37"/>
        <v>VALORES NO COLOCADOS</v>
      </c>
      <c r="BJ30" s="41"/>
    </row>
    <row r="31" spans="1:62" ht="86.25" customHeight="1" x14ac:dyDescent="0.25">
      <c r="A31" s="12"/>
      <c r="B31" s="46">
        <v>5</v>
      </c>
      <c r="C31" s="35"/>
      <c r="D31" s="35"/>
      <c r="E31" s="36"/>
      <c r="F31" s="35"/>
      <c r="G31" s="72" t="s">
        <v>31</v>
      </c>
      <c r="H31" s="36"/>
      <c r="I31" s="47" t="str">
        <f t="shared" si="19"/>
        <v>0</v>
      </c>
      <c r="J31" s="35"/>
      <c r="K31" s="72" t="s">
        <v>31</v>
      </c>
      <c r="L31" s="36"/>
      <c r="M31" s="47" t="str">
        <f t="shared" si="20"/>
        <v>0</v>
      </c>
      <c r="N31" s="35"/>
      <c r="O31" s="72" t="s">
        <v>31</v>
      </c>
      <c r="P31" s="36"/>
      <c r="Q31" s="47" t="str">
        <f t="shared" si="21"/>
        <v>0</v>
      </c>
      <c r="R31" s="36"/>
      <c r="S31" s="76" t="str">
        <f t="shared" si="22"/>
        <v>VALORES NO COLOCADOS</v>
      </c>
      <c r="T31" s="72" t="s">
        <v>31</v>
      </c>
      <c r="U31" s="36"/>
      <c r="V31" s="47" t="str">
        <f t="shared" si="23"/>
        <v>0</v>
      </c>
      <c r="W31" s="36"/>
      <c r="X31" s="72" t="s">
        <v>31</v>
      </c>
      <c r="Y31" s="36"/>
      <c r="Z31" s="47" t="str">
        <f t="shared" si="24"/>
        <v>0</v>
      </c>
      <c r="AA31" s="36"/>
      <c r="AB31" s="72" t="s">
        <v>31</v>
      </c>
      <c r="AC31" s="36"/>
      <c r="AD31" s="47" t="str">
        <f t="shared" si="25"/>
        <v>0</v>
      </c>
      <c r="AE31" s="36"/>
      <c r="AF31" s="76" t="str">
        <f t="shared" si="26"/>
        <v>VALORES NO COLOCADOS</v>
      </c>
      <c r="AG31" s="77" t="str">
        <f t="shared" si="27"/>
        <v>VALORES NO COLOCADOS</v>
      </c>
      <c r="AH31" s="72" t="s">
        <v>31</v>
      </c>
      <c r="AI31" s="36"/>
      <c r="AJ31" s="47" t="str">
        <f t="shared" si="28"/>
        <v>0</v>
      </c>
      <c r="AK31" s="36"/>
      <c r="AL31" s="72" t="s">
        <v>31</v>
      </c>
      <c r="AM31" s="36"/>
      <c r="AN31" s="47" t="str">
        <f t="shared" si="29"/>
        <v>0</v>
      </c>
      <c r="AO31" s="36"/>
      <c r="AP31" s="72" t="s">
        <v>31</v>
      </c>
      <c r="AQ31" s="36"/>
      <c r="AR31" s="47" t="str">
        <f t="shared" si="30"/>
        <v>0</v>
      </c>
      <c r="AS31" s="36"/>
      <c r="AT31" s="76" t="str">
        <f t="shared" si="31"/>
        <v>VALORES NO COLOCADOS</v>
      </c>
      <c r="AU31" s="72" t="s">
        <v>31</v>
      </c>
      <c r="AV31" s="36"/>
      <c r="AW31" s="47" t="str">
        <f t="shared" si="32"/>
        <v>0</v>
      </c>
      <c r="AX31" s="36"/>
      <c r="AY31" s="72" t="s">
        <v>31</v>
      </c>
      <c r="AZ31" s="36"/>
      <c r="BA31" s="47" t="str">
        <f t="shared" si="33"/>
        <v>0</v>
      </c>
      <c r="BB31" s="36"/>
      <c r="BC31" s="72" t="s">
        <v>31</v>
      </c>
      <c r="BD31" s="36"/>
      <c r="BE31" s="47" t="str">
        <f t="shared" si="34"/>
        <v>0</v>
      </c>
      <c r="BF31" s="36"/>
      <c r="BG31" s="76" t="str">
        <f t="shared" si="35"/>
        <v>VALORES NO COLOCADOS</v>
      </c>
      <c r="BH31" s="77" t="str">
        <f t="shared" si="36"/>
        <v>VALORES NO COLOCADOS</v>
      </c>
      <c r="BI31" s="78" t="str">
        <f t="shared" si="37"/>
        <v>VALORES NO COLOCADOS</v>
      </c>
      <c r="BJ31" s="41"/>
    </row>
    <row r="32" spans="1:62" ht="86.25" customHeight="1" x14ac:dyDescent="0.25">
      <c r="A32" s="34"/>
      <c r="B32" s="46">
        <v>6</v>
      </c>
      <c r="C32" s="35"/>
      <c r="D32" s="35"/>
      <c r="E32" s="36"/>
      <c r="F32" s="35"/>
      <c r="G32" s="72" t="s">
        <v>31</v>
      </c>
      <c r="H32" s="36"/>
      <c r="I32" s="47" t="str">
        <f t="shared" si="19"/>
        <v>0</v>
      </c>
      <c r="J32" s="35"/>
      <c r="K32" s="72" t="s">
        <v>31</v>
      </c>
      <c r="L32" s="36"/>
      <c r="M32" s="47" t="str">
        <f t="shared" si="20"/>
        <v>0</v>
      </c>
      <c r="N32" s="35"/>
      <c r="O32" s="72" t="s">
        <v>31</v>
      </c>
      <c r="P32" s="36"/>
      <c r="Q32" s="47" t="str">
        <f t="shared" si="21"/>
        <v>0</v>
      </c>
      <c r="R32" s="36"/>
      <c r="S32" s="76" t="str">
        <f t="shared" si="22"/>
        <v>VALORES NO COLOCADOS</v>
      </c>
      <c r="T32" s="72" t="s">
        <v>31</v>
      </c>
      <c r="U32" s="36"/>
      <c r="V32" s="47" t="str">
        <f t="shared" si="23"/>
        <v>0</v>
      </c>
      <c r="W32" s="36"/>
      <c r="X32" s="72" t="s">
        <v>31</v>
      </c>
      <c r="Y32" s="36"/>
      <c r="Z32" s="47" t="str">
        <f t="shared" si="24"/>
        <v>0</v>
      </c>
      <c r="AA32" s="36"/>
      <c r="AB32" s="72" t="s">
        <v>31</v>
      </c>
      <c r="AC32" s="36"/>
      <c r="AD32" s="47" t="str">
        <f t="shared" si="25"/>
        <v>0</v>
      </c>
      <c r="AE32" s="36"/>
      <c r="AF32" s="76" t="str">
        <f t="shared" si="26"/>
        <v>VALORES NO COLOCADOS</v>
      </c>
      <c r="AG32" s="77" t="str">
        <f t="shared" si="27"/>
        <v>VALORES NO COLOCADOS</v>
      </c>
      <c r="AH32" s="72" t="s">
        <v>31</v>
      </c>
      <c r="AI32" s="36"/>
      <c r="AJ32" s="47" t="str">
        <f t="shared" si="28"/>
        <v>0</v>
      </c>
      <c r="AK32" s="36"/>
      <c r="AL32" s="72" t="s">
        <v>31</v>
      </c>
      <c r="AM32" s="36"/>
      <c r="AN32" s="47" t="str">
        <f t="shared" si="29"/>
        <v>0</v>
      </c>
      <c r="AO32" s="36"/>
      <c r="AP32" s="72" t="s">
        <v>31</v>
      </c>
      <c r="AQ32" s="36"/>
      <c r="AR32" s="47" t="str">
        <f t="shared" si="30"/>
        <v>0</v>
      </c>
      <c r="AS32" s="36"/>
      <c r="AT32" s="76" t="str">
        <f t="shared" si="31"/>
        <v>VALORES NO COLOCADOS</v>
      </c>
      <c r="AU32" s="72" t="s">
        <v>31</v>
      </c>
      <c r="AV32" s="36"/>
      <c r="AW32" s="47" t="str">
        <f t="shared" si="32"/>
        <v>0</v>
      </c>
      <c r="AX32" s="36"/>
      <c r="AY32" s="72" t="s">
        <v>31</v>
      </c>
      <c r="AZ32" s="36"/>
      <c r="BA32" s="47" t="str">
        <f t="shared" si="33"/>
        <v>0</v>
      </c>
      <c r="BB32" s="36"/>
      <c r="BC32" s="72" t="s">
        <v>31</v>
      </c>
      <c r="BD32" s="36"/>
      <c r="BE32" s="47" t="str">
        <f t="shared" si="34"/>
        <v>0</v>
      </c>
      <c r="BF32" s="36"/>
      <c r="BG32" s="76" t="str">
        <f t="shared" si="35"/>
        <v>VALORES NO COLOCADOS</v>
      </c>
      <c r="BH32" s="77" t="str">
        <f t="shared" si="36"/>
        <v>VALORES NO COLOCADOS</v>
      </c>
      <c r="BI32" s="78" t="str">
        <f t="shared" si="37"/>
        <v>VALORES NO COLOCADOS</v>
      </c>
      <c r="BJ32" s="41"/>
    </row>
    <row r="33" spans="1:62" ht="86.25" customHeight="1" x14ac:dyDescent="0.25">
      <c r="A33" s="12"/>
      <c r="B33" s="46">
        <v>7</v>
      </c>
      <c r="C33" s="35"/>
      <c r="D33" s="35"/>
      <c r="E33" s="36"/>
      <c r="F33" s="35"/>
      <c r="G33" s="72" t="s">
        <v>31</v>
      </c>
      <c r="H33" s="36"/>
      <c r="I33" s="47" t="str">
        <f t="shared" si="19"/>
        <v>0</v>
      </c>
      <c r="J33" s="35"/>
      <c r="K33" s="72" t="s">
        <v>31</v>
      </c>
      <c r="L33" s="36"/>
      <c r="M33" s="47" t="str">
        <f t="shared" si="20"/>
        <v>0</v>
      </c>
      <c r="N33" s="35"/>
      <c r="O33" s="72" t="s">
        <v>31</v>
      </c>
      <c r="P33" s="36"/>
      <c r="Q33" s="47" t="str">
        <f t="shared" si="21"/>
        <v>0</v>
      </c>
      <c r="R33" s="36"/>
      <c r="S33" s="76" t="str">
        <f t="shared" si="22"/>
        <v>VALORES NO COLOCADOS</v>
      </c>
      <c r="T33" s="72" t="s">
        <v>31</v>
      </c>
      <c r="U33" s="36"/>
      <c r="V33" s="47" t="str">
        <f t="shared" si="23"/>
        <v>0</v>
      </c>
      <c r="W33" s="36"/>
      <c r="X33" s="72" t="s">
        <v>31</v>
      </c>
      <c r="Y33" s="36"/>
      <c r="Z33" s="47" t="str">
        <f t="shared" si="24"/>
        <v>0</v>
      </c>
      <c r="AA33" s="36"/>
      <c r="AB33" s="72" t="s">
        <v>31</v>
      </c>
      <c r="AC33" s="36"/>
      <c r="AD33" s="47" t="str">
        <f t="shared" si="25"/>
        <v>0</v>
      </c>
      <c r="AE33" s="36"/>
      <c r="AF33" s="76" t="str">
        <f t="shared" si="26"/>
        <v>VALORES NO COLOCADOS</v>
      </c>
      <c r="AG33" s="77" t="str">
        <f t="shared" si="27"/>
        <v>VALORES NO COLOCADOS</v>
      </c>
      <c r="AH33" s="72" t="s">
        <v>31</v>
      </c>
      <c r="AI33" s="36"/>
      <c r="AJ33" s="47" t="str">
        <f t="shared" si="28"/>
        <v>0</v>
      </c>
      <c r="AK33" s="36"/>
      <c r="AL33" s="72" t="s">
        <v>31</v>
      </c>
      <c r="AM33" s="36"/>
      <c r="AN33" s="47" t="str">
        <f t="shared" si="29"/>
        <v>0</v>
      </c>
      <c r="AO33" s="36"/>
      <c r="AP33" s="72" t="s">
        <v>31</v>
      </c>
      <c r="AQ33" s="36"/>
      <c r="AR33" s="47" t="str">
        <f t="shared" si="30"/>
        <v>0</v>
      </c>
      <c r="AS33" s="36"/>
      <c r="AT33" s="76" t="str">
        <f t="shared" si="31"/>
        <v>VALORES NO COLOCADOS</v>
      </c>
      <c r="AU33" s="72" t="s">
        <v>31</v>
      </c>
      <c r="AV33" s="36"/>
      <c r="AW33" s="47" t="str">
        <f t="shared" si="32"/>
        <v>0</v>
      </c>
      <c r="AX33" s="36"/>
      <c r="AY33" s="72" t="s">
        <v>31</v>
      </c>
      <c r="AZ33" s="36"/>
      <c r="BA33" s="47" t="str">
        <f t="shared" si="33"/>
        <v>0</v>
      </c>
      <c r="BB33" s="36"/>
      <c r="BC33" s="72" t="s">
        <v>31</v>
      </c>
      <c r="BD33" s="36"/>
      <c r="BE33" s="47" t="str">
        <f t="shared" si="34"/>
        <v>0</v>
      </c>
      <c r="BF33" s="36"/>
      <c r="BG33" s="76" t="str">
        <f t="shared" si="35"/>
        <v>VALORES NO COLOCADOS</v>
      </c>
      <c r="BH33" s="77" t="str">
        <f t="shared" si="36"/>
        <v>VALORES NO COLOCADOS</v>
      </c>
      <c r="BI33" s="78" t="str">
        <f t="shared" si="37"/>
        <v>VALORES NO COLOCADOS</v>
      </c>
      <c r="BJ33" s="41"/>
    </row>
    <row r="34" spans="1:62" ht="86.25" customHeight="1" x14ac:dyDescent="0.25">
      <c r="A34" s="12"/>
      <c r="B34" s="46">
        <v>8</v>
      </c>
      <c r="C34" s="35"/>
      <c r="D34" s="35"/>
      <c r="E34" s="36"/>
      <c r="F34" s="35"/>
      <c r="G34" s="72" t="s">
        <v>31</v>
      </c>
      <c r="H34" s="36"/>
      <c r="I34" s="47" t="str">
        <f t="shared" si="19"/>
        <v>0</v>
      </c>
      <c r="J34" s="35"/>
      <c r="K34" s="72" t="s">
        <v>31</v>
      </c>
      <c r="L34" s="36"/>
      <c r="M34" s="47" t="str">
        <f t="shared" si="20"/>
        <v>0</v>
      </c>
      <c r="N34" s="35"/>
      <c r="O34" s="72" t="s">
        <v>31</v>
      </c>
      <c r="P34" s="36"/>
      <c r="Q34" s="47" t="str">
        <f t="shared" si="21"/>
        <v>0</v>
      </c>
      <c r="R34" s="36"/>
      <c r="S34" s="76" t="str">
        <f t="shared" si="22"/>
        <v>VALORES NO COLOCADOS</v>
      </c>
      <c r="T34" s="72" t="s">
        <v>31</v>
      </c>
      <c r="U34" s="36"/>
      <c r="V34" s="47" t="str">
        <f t="shared" si="23"/>
        <v>0</v>
      </c>
      <c r="W34" s="36"/>
      <c r="X34" s="72" t="s">
        <v>31</v>
      </c>
      <c r="Y34" s="36"/>
      <c r="Z34" s="47" t="str">
        <f t="shared" si="24"/>
        <v>0</v>
      </c>
      <c r="AA34" s="36"/>
      <c r="AB34" s="72" t="s">
        <v>31</v>
      </c>
      <c r="AC34" s="36"/>
      <c r="AD34" s="47" t="str">
        <f t="shared" si="25"/>
        <v>0</v>
      </c>
      <c r="AE34" s="36"/>
      <c r="AF34" s="76" t="str">
        <f t="shared" si="26"/>
        <v>VALORES NO COLOCADOS</v>
      </c>
      <c r="AG34" s="77" t="str">
        <f t="shared" si="27"/>
        <v>VALORES NO COLOCADOS</v>
      </c>
      <c r="AH34" s="72" t="s">
        <v>31</v>
      </c>
      <c r="AI34" s="36"/>
      <c r="AJ34" s="47" t="str">
        <f t="shared" si="28"/>
        <v>0</v>
      </c>
      <c r="AK34" s="36"/>
      <c r="AL34" s="72" t="s">
        <v>31</v>
      </c>
      <c r="AM34" s="36"/>
      <c r="AN34" s="47" t="str">
        <f t="shared" si="29"/>
        <v>0</v>
      </c>
      <c r="AO34" s="36"/>
      <c r="AP34" s="72" t="s">
        <v>31</v>
      </c>
      <c r="AQ34" s="36"/>
      <c r="AR34" s="47" t="str">
        <f t="shared" si="30"/>
        <v>0</v>
      </c>
      <c r="AS34" s="36"/>
      <c r="AT34" s="76" t="str">
        <f t="shared" si="31"/>
        <v>VALORES NO COLOCADOS</v>
      </c>
      <c r="AU34" s="72" t="s">
        <v>31</v>
      </c>
      <c r="AV34" s="36"/>
      <c r="AW34" s="47" t="str">
        <f t="shared" si="32"/>
        <v>0</v>
      </c>
      <c r="AX34" s="36"/>
      <c r="AY34" s="72" t="s">
        <v>31</v>
      </c>
      <c r="AZ34" s="36"/>
      <c r="BA34" s="47" t="str">
        <f t="shared" si="33"/>
        <v>0</v>
      </c>
      <c r="BB34" s="36"/>
      <c r="BC34" s="72" t="s">
        <v>31</v>
      </c>
      <c r="BD34" s="36"/>
      <c r="BE34" s="47" t="str">
        <f t="shared" si="34"/>
        <v>0</v>
      </c>
      <c r="BF34" s="36"/>
      <c r="BG34" s="76" t="str">
        <f t="shared" si="35"/>
        <v>VALORES NO COLOCADOS</v>
      </c>
      <c r="BH34" s="77" t="str">
        <f t="shared" si="36"/>
        <v>VALORES NO COLOCADOS</v>
      </c>
      <c r="BI34" s="78" t="str">
        <f t="shared" si="37"/>
        <v>VALORES NO COLOCADOS</v>
      </c>
      <c r="BJ34" s="41"/>
    </row>
    <row r="35" spans="1:62" ht="86.25" customHeight="1" x14ac:dyDescent="0.25">
      <c r="A35" s="12"/>
      <c r="B35" s="46">
        <v>9</v>
      </c>
      <c r="C35" s="35"/>
      <c r="D35" s="35"/>
      <c r="E35" s="36"/>
      <c r="F35" s="35"/>
      <c r="G35" s="72" t="s">
        <v>31</v>
      </c>
      <c r="H35" s="36"/>
      <c r="I35" s="47" t="str">
        <f t="shared" si="19"/>
        <v>0</v>
      </c>
      <c r="J35" s="35"/>
      <c r="K35" s="72" t="s">
        <v>31</v>
      </c>
      <c r="L35" s="36"/>
      <c r="M35" s="47" t="str">
        <f t="shared" si="20"/>
        <v>0</v>
      </c>
      <c r="N35" s="35"/>
      <c r="O35" s="72" t="s">
        <v>31</v>
      </c>
      <c r="P35" s="36"/>
      <c r="Q35" s="47" t="str">
        <f t="shared" si="21"/>
        <v>0</v>
      </c>
      <c r="R35" s="36"/>
      <c r="S35" s="76" t="str">
        <f t="shared" si="22"/>
        <v>VALORES NO COLOCADOS</v>
      </c>
      <c r="T35" s="72" t="s">
        <v>31</v>
      </c>
      <c r="U35" s="36"/>
      <c r="V35" s="47" t="str">
        <f t="shared" si="23"/>
        <v>0</v>
      </c>
      <c r="W35" s="36"/>
      <c r="X35" s="72" t="s">
        <v>31</v>
      </c>
      <c r="Y35" s="36"/>
      <c r="Z35" s="47" t="str">
        <f t="shared" si="24"/>
        <v>0</v>
      </c>
      <c r="AA35" s="36"/>
      <c r="AB35" s="72" t="s">
        <v>31</v>
      </c>
      <c r="AC35" s="36"/>
      <c r="AD35" s="47" t="str">
        <f t="shared" si="25"/>
        <v>0</v>
      </c>
      <c r="AE35" s="36"/>
      <c r="AF35" s="76" t="str">
        <f t="shared" si="26"/>
        <v>VALORES NO COLOCADOS</v>
      </c>
      <c r="AG35" s="77" t="str">
        <f t="shared" si="27"/>
        <v>VALORES NO COLOCADOS</v>
      </c>
      <c r="AH35" s="72" t="s">
        <v>31</v>
      </c>
      <c r="AI35" s="36"/>
      <c r="AJ35" s="47" t="str">
        <f t="shared" si="28"/>
        <v>0</v>
      </c>
      <c r="AK35" s="36"/>
      <c r="AL35" s="72" t="s">
        <v>31</v>
      </c>
      <c r="AM35" s="36"/>
      <c r="AN35" s="47" t="str">
        <f t="shared" si="29"/>
        <v>0</v>
      </c>
      <c r="AO35" s="36"/>
      <c r="AP35" s="72" t="s">
        <v>31</v>
      </c>
      <c r="AQ35" s="36"/>
      <c r="AR35" s="47" t="str">
        <f t="shared" si="30"/>
        <v>0</v>
      </c>
      <c r="AS35" s="36"/>
      <c r="AT35" s="76" t="str">
        <f t="shared" si="31"/>
        <v>VALORES NO COLOCADOS</v>
      </c>
      <c r="AU35" s="72" t="s">
        <v>31</v>
      </c>
      <c r="AV35" s="36"/>
      <c r="AW35" s="47" t="str">
        <f t="shared" si="32"/>
        <v>0</v>
      </c>
      <c r="AX35" s="36"/>
      <c r="AY35" s="72" t="s">
        <v>31</v>
      </c>
      <c r="AZ35" s="36"/>
      <c r="BA35" s="47" t="str">
        <f t="shared" si="33"/>
        <v>0</v>
      </c>
      <c r="BB35" s="36"/>
      <c r="BC35" s="72" t="s">
        <v>31</v>
      </c>
      <c r="BD35" s="36"/>
      <c r="BE35" s="47" t="str">
        <f t="shared" si="34"/>
        <v>0</v>
      </c>
      <c r="BF35" s="36"/>
      <c r="BG35" s="76" t="str">
        <f t="shared" si="35"/>
        <v>VALORES NO COLOCADOS</v>
      </c>
      <c r="BH35" s="77" t="str">
        <f t="shared" si="36"/>
        <v>VALORES NO COLOCADOS</v>
      </c>
      <c r="BI35" s="78" t="str">
        <f t="shared" si="37"/>
        <v>VALORES NO COLOCADOS</v>
      </c>
      <c r="BJ35" s="41"/>
    </row>
    <row r="36" spans="1:62" ht="86.25" customHeight="1" x14ac:dyDescent="0.25">
      <c r="A36" s="12"/>
      <c r="B36" s="46">
        <v>10</v>
      </c>
      <c r="C36" s="35"/>
      <c r="D36" s="35"/>
      <c r="E36" s="36"/>
      <c r="F36" s="35"/>
      <c r="G36" s="72" t="s">
        <v>31</v>
      </c>
      <c r="H36" s="36"/>
      <c r="I36" s="47" t="str">
        <f t="shared" si="19"/>
        <v>0</v>
      </c>
      <c r="J36" s="35"/>
      <c r="K36" s="72" t="s">
        <v>31</v>
      </c>
      <c r="L36" s="36"/>
      <c r="M36" s="47" t="str">
        <f t="shared" si="20"/>
        <v>0</v>
      </c>
      <c r="N36" s="35"/>
      <c r="O36" s="72" t="s">
        <v>31</v>
      </c>
      <c r="P36" s="36"/>
      <c r="Q36" s="47" t="str">
        <f t="shared" si="21"/>
        <v>0</v>
      </c>
      <c r="R36" s="36"/>
      <c r="S36" s="76" t="str">
        <f t="shared" si="22"/>
        <v>VALORES NO COLOCADOS</v>
      </c>
      <c r="T36" s="72" t="s">
        <v>31</v>
      </c>
      <c r="U36" s="36"/>
      <c r="V36" s="47" t="str">
        <f t="shared" si="23"/>
        <v>0</v>
      </c>
      <c r="W36" s="36"/>
      <c r="X36" s="72" t="s">
        <v>31</v>
      </c>
      <c r="Y36" s="36"/>
      <c r="Z36" s="47" t="str">
        <f t="shared" si="24"/>
        <v>0</v>
      </c>
      <c r="AA36" s="36"/>
      <c r="AB36" s="72" t="s">
        <v>31</v>
      </c>
      <c r="AC36" s="36"/>
      <c r="AD36" s="47" t="str">
        <f t="shared" si="25"/>
        <v>0</v>
      </c>
      <c r="AE36" s="36"/>
      <c r="AF36" s="76" t="str">
        <f t="shared" si="26"/>
        <v>VALORES NO COLOCADOS</v>
      </c>
      <c r="AG36" s="77" t="str">
        <f t="shared" si="27"/>
        <v>VALORES NO COLOCADOS</v>
      </c>
      <c r="AH36" s="72" t="s">
        <v>31</v>
      </c>
      <c r="AI36" s="36"/>
      <c r="AJ36" s="47" t="str">
        <f t="shared" si="28"/>
        <v>0</v>
      </c>
      <c r="AK36" s="36"/>
      <c r="AL36" s="72" t="s">
        <v>31</v>
      </c>
      <c r="AM36" s="36"/>
      <c r="AN36" s="47" t="str">
        <f t="shared" si="29"/>
        <v>0</v>
      </c>
      <c r="AO36" s="36"/>
      <c r="AP36" s="72" t="s">
        <v>31</v>
      </c>
      <c r="AQ36" s="36"/>
      <c r="AR36" s="47" t="str">
        <f t="shared" si="30"/>
        <v>0</v>
      </c>
      <c r="AS36" s="36"/>
      <c r="AT36" s="76" t="str">
        <f t="shared" si="31"/>
        <v>VALORES NO COLOCADOS</v>
      </c>
      <c r="AU36" s="72" t="s">
        <v>31</v>
      </c>
      <c r="AV36" s="36"/>
      <c r="AW36" s="47" t="str">
        <f t="shared" si="32"/>
        <v>0</v>
      </c>
      <c r="AX36" s="36"/>
      <c r="AY36" s="72" t="s">
        <v>31</v>
      </c>
      <c r="AZ36" s="36"/>
      <c r="BA36" s="47" t="str">
        <f t="shared" si="33"/>
        <v>0</v>
      </c>
      <c r="BB36" s="36"/>
      <c r="BC36" s="72" t="s">
        <v>31</v>
      </c>
      <c r="BD36" s="36"/>
      <c r="BE36" s="47" t="str">
        <f t="shared" si="34"/>
        <v>0</v>
      </c>
      <c r="BF36" s="36"/>
      <c r="BG36" s="76" t="str">
        <f t="shared" si="35"/>
        <v>VALORES NO COLOCADOS</v>
      </c>
      <c r="BH36" s="77" t="str">
        <f t="shared" si="36"/>
        <v>VALORES NO COLOCADOS</v>
      </c>
      <c r="BI36" s="78" t="str">
        <f t="shared" si="37"/>
        <v>VALORES NO COLOCADOS</v>
      </c>
      <c r="BJ36" s="41"/>
    </row>
    <row r="37" spans="1:62" ht="86.25" customHeight="1" x14ac:dyDescent="0.25">
      <c r="A37" s="12"/>
      <c r="B37" s="46">
        <v>11</v>
      </c>
      <c r="C37" s="35"/>
      <c r="D37" s="35"/>
      <c r="E37" s="36"/>
      <c r="F37" s="35"/>
      <c r="G37" s="72" t="s">
        <v>31</v>
      </c>
      <c r="H37" s="36"/>
      <c r="I37" s="47" t="str">
        <f t="shared" si="19"/>
        <v>0</v>
      </c>
      <c r="J37" s="35"/>
      <c r="K37" s="72" t="s">
        <v>31</v>
      </c>
      <c r="L37" s="36"/>
      <c r="M37" s="47" t="str">
        <f t="shared" si="20"/>
        <v>0</v>
      </c>
      <c r="N37" s="35"/>
      <c r="O37" s="72" t="s">
        <v>31</v>
      </c>
      <c r="P37" s="36"/>
      <c r="Q37" s="47" t="str">
        <f t="shared" si="21"/>
        <v>0</v>
      </c>
      <c r="R37" s="36"/>
      <c r="S37" s="76" t="str">
        <f t="shared" si="22"/>
        <v>VALORES NO COLOCADOS</v>
      </c>
      <c r="T37" s="72" t="s">
        <v>31</v>
      </c>
      <c r="U37" s="36"/>
      <c r="V37" s="47" t="str">
        <f t="shared" si="23"/>
        <v>0</v>
      </c>
      <c r="W37" s="36"/>
      <c r="X37" s="72" t="s">
        <v>31</v>
      </c>
      <c r="Y37" s="36"/>
      <c r="Z37" s="47" t="str">
        <f t="shared" si="24"/>
        <v>0</v>
      </c>
      <c r="AA37" s="36"/>
      <c r="AB37" s="72" t="s">
        <v>31</v>
      </c>
      <c r="AC37" s="36"/>
      <c r="AD37" s="47" t="str">
        <f t="shared" si="25"/>
        <v>0</v>
      </c>
      <c r="AE37" s="36"/>
      <c r="AF37" s="76" t="str">
        <f t="shared" si="26"/>
        <v>VALORES NO COLOCADOS</v>
      </c>
      <c r="AG37" s="77" t="str">
        <f t="shared" si="27"/>
        <v>VALORES NO COLOCADOS</v>
      </c>
      <c r="AH37" s="72" t="s">
        <v>31</v>
      </c>
      <c r="AI37" s="36"/>
      <c r="AJ37" s="47" t="str">
        <f t="shared" si="28"/>
        <v>0</v>
      </c>
      <c r="AK37" s="36"/>
      <c r="AL37" s="72" t="s">
        <v>31</v>
      </c>
      <c r="AM37" s="36"/>
      <c r="AN37" s="47" t="str">
        <f t="shared" si="29"/>
        <v>0</v>
      </c>
      <c r="AO37" s="36"/>
      <c r="AP37" s="72" t="s">
        <v>31</v>
      </c>
      <c r="AQ37" s="36"/>
      <c r="AR37" s="47" t="str">
        <f t="shared" si="30"/>
        <v>0</v>
      </c>
      <c r="AS37" s="36"/>
      <c r="AT37" s="76" t="str">
        <f t="shared" si="31"/>
        <v>VALORES NO COLOCADOS</v>
      </c>
      <c r="AU37" s="72" t="s">
        <v>31</v>
      </c>
      <c r="AV37" s="36"/>
      <c r="AW37" s="47" t="str">
        <f t="shared" si="32"/>
        <v>0</v>
      </c>
      <c r="AX37" s="36"/>
      <c r="AY37" s="72" t="s">
        <v>31</v>
      </c>
      <c r="AZ37" s="36"/>
      <c r="BA37" s="47" t="str">
        <f t="shared" si="33"/>
        <v>0</v>
      </c>
      <c r="BB37" s="36"/>
      <c r="BC37" s="72" t="s">
        <v>31</v>
      </c>
      <c r="BD37" s="36"/>
      <c r="BE37" s="47" t="str">
        <f t="shared" si="34"/>
        <v>0</v>
      </c>
      <c r="BF37" s="36"/>
      <c r="BG37" s="76" t="str">
        <f t="shared" si="35"/>
        <v>VALORES NO COLOCADOS</v>
      </c>
      <c r="BH37" s="77" t="str">
        <f t="shared" si="36"/>
        <v>VALORES NO COLOCADOS</v>
      </c>
      <c r="BI37" s="78" t="str">
        <f t="shared" si="37"/>
        <v>VALORES NO COLOCADOS</v>
      </c>
      <c r="BJ37" s="41"/>
    </row>
    <row r="38" spans="1:62" ht="86.25" customHeight="1" x14ac:dyDescent="0.25">
      <c r="A38" s="12"/>
      <c r="B38" s="46">
        <v>12</v>
      </c>
      <c r="C38" s="35"/>
      <c r="D38" s="35"/>
      <c r="E38" s="36"/>
      <c r="F38" s="35"/>
      <c r="G38" s="72" t="s">
        <v>31</v>
      </c>
      <c r="H38" s="36"/>
      <c r="I38" s="47" t="str">
        <f t="shared" si="19"/>
        <v>0</v>
      </c>
      <c r="J38" s="35"/>
      <c r="K38" s="72" t="s">
        <v>31</v>
      </c>
      <c r="L38" s="36"/>
      <c r="M38" s="47" t="str">
        <f t="shared" si="20"/>
        <v>0</v>
      </c>
      <c r="N38" s="35"/>
      <c r="O38" s="72" t="s">
        <v>31</v>
      </c>
      <c r="P38" s="36"/>
      <c r="Q38" s="47" t="str">
        <f t="shared" si="21"/>
        <v>0</v>
      </c>
      <c r="R38" s="36"/>
      <c r="S38" s="76" t="str">
        <f t="shared" si="22"/>
        <v>VALORES NO COLOCADOS</v>
      </c>
      <c r="T38" s="72" t="s">
        <v>31</v>
      </c>
      <c r="U38" s="36"/>
      <c r="V38" s="47" t="str">
        <f t="shared" si="23"/>
        <v>0</v>
      </c>
      <c r="W38" s="36"/>
      <c r="X38" s="72" t="s">
        <v>31</v>
      </c>
      <c r="Y38" s="36"/>
      <c r="Z38" s="47" t="str">
        <f t="shared" si="24"/>
        <v>0</v>
      </c>
      <c r="AA38" s="36"/>
      <c r="AB38" s="72" t="s">
        <v>31</v>
      </c>
      <c r="AC38" s="36"/>
      <c r="AD38" s="47" t="str">
        <f t="shared" si="25"/>
        <v>0</v>
      </c>
      <c r="AE38" s="36"/>
      <c r="AF38" s="76" t="str">
        <f t="shared" si="26"/>
        <v>VALORES NO COLOCADOS</v>
      </c>
      <c r="AG38" s="77" t="str">
        <f t="shared" si="27"/>
        <v>VALORES NO COLOCADOS</v>
      </c>
      <c r="AH38" s="72" t="s">
        <v>31</v>
      </c>
      <c r="AI38" s="36"/>
      <c r="AJ38" s="47" t="str">
        <f t="shared" si="28"/>
        <v>0</v>
      </c>
      <c r="AK38" s="36"/>
      <c r="AL38" s="72" t="s">
        <v>31</v>
      </c>
      <c r="AM38" s="36"/>
      <c r="AN38" s="47" t="str">
        <f t="shared" si="29"/>
        <v>0</v>
      </c>
      <c r="AO38" s="36"/>
      <c r="AP38" s="72" t="s">
        <v>31</v>
      </c>
      <c r="AQ38" s="36"/>
      <c r="AR38" s="47" t="str">
        <f t="shared" si="30"/>
        <v>0</v>
      </c>
      <c r="AS38" s="36"/>
      <c r="AT38" s="76" t="str">
        <f t="shared" si="31"/>
        <v>VALORES NO COLOCADOS</v>
      </c>
      <c r="AU38" s="72" t="s">
        <v>31</v>
      </c>
      <c r="AV38" s="36"/>
      <c r="AW38" s="47" t="str">
        <f t="shared" si="32"/>
        <v>0</v>
      </c>
      <c r="AX38" s="36"/>
      <c r="AY38" s="72" t="s">
        <v>31</v>
      </c>
      <c r="AZ38" s="36"/>
      <c r="BA38" s="47" t="str">
        <f t="shared" si="33"/>
        <v>0</v>
      </c>
      <c r="BB38" s="36"/>
      <c r="BC38" s="72" t="s">
        <v>31</v>
      </c>
      <c r="BD38" s="36"/>
      <c r="BE38" s="47" t="str">
        <f t="shared" si="34"/>
        <v>0</v>
      </c>
      <c r="BF38" s="36"/>
      <c r="BG38" s="76" t="str">
        <f t="shared" si="35"/>
        <v>VALORES NO COLOCADOS</v>
      </c>
      <c r="BH38" s="77" t="str">
        <f t="shared" si="36"/>
        <v>VALORES NO COLOCADOS</v>
      </c>
      <c r="BI38" s="78" t="str">
        <f t="shared" si="37"/>
        <v>VALORES NO COLOCADOS</v>
      </c>
      <c r="BJ38" s="41"/>
    </row>
    <row r="39" spans="1:62" ht="86.25" customHeight="1" x14ac:dyDescent="0.25">
      <c r="A39" s="12"/>
      <c r="B39" s="46">
        <v>13</v>
      </c>
      <c r="C39" s="35"/>
      <c r="D39" s="35"/>
      <c r="E39" s="36"/>
      <c r="F39" s="35"/>
      <c r="G39" s="72" t="s">
        <v>31</v>
      </c>
      <c r="H39" s="36"/>
      <c r="I39" s="47" t="str">
        <f t="shared" si="19"/>
        <v>0</v>
      </c>
      <c r="J39" s="35"/>
      <c r="K39" s="72" t="s">
        <v>31</v>
      </c>
      <c r="L39" s="36"/>
      <c r="M39" s="47" t="str">
        <f t="shared" si="20"/>
        <v>0</v>
      </c>
      <c r="N39" s="35"/>
      <c r="O39" s="72" t="s">
        <v>31</v>
      </c>
      <c r="P39" s="36"/>
      <c r="Q39" s="47" t="str">
        <f t="shared" si="21"/>
        <v>0</v>
      </c>
      <c r="R39" s="36"/>
      <c r="S39" s="76" t="str">
        <f t="shared" si="22"/>
        <v>VALORES NO COLOCADOS</v>
      </c>
      <c r="T39" s="72" t="s">
        <v>31</v>
      </c>
      <c r="U39" s="36"/>
      <c r="V39" s="47" t="str">
        <f t="shared" si="23"/>
        <v>0</v>
      </c>
      <c r="W39" s="36"/>
      <c r="X39" s="72" t="s">
        <v>31</v>
      </c>
      <c r="Y39" s="36"/>
      <c r="Z39" s="47" t="str">
        <f t="shared" si="24"/>
        <v>0</v>
      </c>
      <c r="AA39" s="36"/>
      <c r="AB39" s="72" t="s">
        <v>31</v>
      </c>
      <c r="AC39" s="36"/>
      <c r="AD39" s="47" t="str">
        <f t="shared" si="25"/>
        <v>0</v>
      </c>
      <c r="AE39" s="36"/>
      <c r="AF39" s="76" t="str">
        <f t="shared" si="26"/>
        <v>VALORES NO COLOCADOS</v>
      </c>
      <c r="AG39" s="77" t="str">
        <f t="shared" si="27"/>
        <v>VALORES NO COLOCADOS</v>
      </c>
      <c r="AH39" s="72" t="s">
        <v>31</v>
      </c>
      <c r="AI39" s="36"/>
      <c r="AJ39" s="47" t="str">
        <f t="shared" si="28"/>
        <v>0</v>
      </c>
      <c r="AK39" s="36"/>
      <c r="AL39" s="72" t="s">
        <v>31</v>
      </c>
      <c r="AM39" s="36"/>
      <c r="AN39" s="47" t="str">
        <f t="shared" si="29"/>
        <v>0</v>
      </c>
      <c r="AO39" s="36"/>
      <c r="AP39" s="72" t="s">
        <v>31</v>
      </c>
      <c r="AQ39" s="36"/>
      <c r="AR39" s="47" t="str">
        <f t="shared" si="30"/>
        <v>0</v>
      </c>
      <c r="AS39" s="36"/>
      <c r="AT39" s="76" t="str">
        <f t="shared" si="31"/>
        <v>VALORES NO COLOCADOS</v>
      </c>
      <c r="AU39" s="72" t="s">
        <v>31</v>
      </c>
      <c r="AV39" s="36"/>
      <c r="AW39" s="47" t="str">
        <f t="shared" si="32"/>
        <v>0</v>
      </c>
      <c r="AX39" s="36"/>
      <c r="AY39" s="72" t="s">
        <v>31</v>
      </c>
      <c r="AZ39" s="36"/>
      <c r="BA39" s="47" t="str">
        <f t="shared" si="33"/>
        <v>0</v>
      </c>
      <c r="BB39" s="36"/>
      <c r="BC39" s="72" t="s">
        <v>31</v>
      </c>
      <c r="BD39" s="36"/>
      <c r="BE39" s="47" t="str">
        <f t="shared" si="34"/>
        <v>0</v>
      </c>
      <c r="BF39" s="36"/>
      <c r="BG39" s="76" t="str">
        <f t="shared" si="35"/>
        <v>VALORES NO COLOCADOS</v>
      </c>
      <c r="BH39" s="77" t="str">
        <f t="shared" si="36"/>
        <v>VALORES NO COLOCADOS</v>
      </c>
      <c r="BI39" s="78" t="str">
        <f t="shared" si="37"/>
        <v>VALORES NO COLOCADOS</v>
      </c>
      <c r="BJ39" s="41"/>
    </row>
    <row r="40" spans="1:62" ht="86.25" customHeight="1" x14ac:dyDescent="0.25">
      <c r="A40" s="12"/>
      <c r="B40" s="46">
        <v>14</v>
      </c>
      <c r="C40" s="35"/>
      <c r="D40" s="35"/>
      <c r="E40" s="36"/>
      <c r="F40" s="35"/>
      <c r="G40" s="72" t="s">
        <v>31</v>
      </c>
      <c r="H40" s="36"/>
      <c r="I40" s="47" t="str">
        <f t="shared" si="19"/>
        <v>0</v>
      </c>
      <c r="J40" s="35"/>
      <c r="K40" s="72" t="s">
        <v>31</v>
      </c>
      <c r="L40" s="36"/>
      <c r="M40" s="47" t="str">
        <f t="shared" si="20"/>
        <v>0</v>
      </c>
      <c r="N40" s="35"/>
      <c r="O40" s="72" t="s">
        <v>31</v>
      </c>
      <c r="P40" s="36"/>
      <c r="Q40" s="47" t="str">
        <f t="shared" si="21"/>
        <v>0</v>
      </c>
      <c r="R40" s="36"/>
      <c r="S40" s="76" t="str">
        <f t="shared" si="22"/>
        <v>VALORES NO COLOCADOS</v>
      </c>
      <c r="T40" s="72" t="s">
        <v>31</v>
      </c>
      <c r="U40" s="36"/>
      <c r="V40" s="47" t="str">
        <f t="shared" si="23"/>
        <v>0</v>
      </c>
      <c r="W40" s="36"/>
      <c r="X40" s="72" t="s">
        <v>31</v>
      </c>
      <c r="Y40" s="36"/>
      <c r="Z40" s="47" t="str">
        <f t="shared" si="24"/>
        <v>0</v>
      </c>
      <c r="AA40" s="36"/>
      <c r="AB40" s="72" t="s">
        <v>31</v>
      </c>
      <c r="AC40" s="36"/>
      <c r="AD40" s="47" t="str">
        <f t="shared" si="25"/>
        <v>0</v>
      </c>
      <c r="AE40" s="36"/>
      <c r="AF40" s="76" t="str">
        <f t="shared" si="26"/>
        <v>VALORES NO COLOCADOS</v>
      </c>
      <c r="AG40" s="77" t="str">
        <f t="shared" si="27"/>
        <v>VALORES NO COLOCADOS</v>
      </c>
      <c r="AH40" s="72" t="s">
        <v>31</v>
      </c>
      <c r="AI40" s="36"/>
      <c r="AJ40" s="47" t="str">
        <f t="shared" si="28"/>
        <v>0</v>
      </c>
      <c r="AK40" s="36"/>
      <c r="AL40" s="72" t="s">
        <v>31</v>
      </c>
      <c r="AM40" s="36"/>
      <c r="AN40" s="47" t="str">
        <f t="shared" si="29"/>
        <v>0</v>
      </c>
      <c r="AO40" s="36"/>
      <c r="AP40" s="72" t="s">
        <v>31</v>
      </c>
      <c r="AQ40" s="36"/>
      <c r="AR40" s="47" t="str">
        <f t="shared" si="30"/>
        <v>0</v>
      </c>
      <c r="AS40" s="36"/>
      <c r="AT40" s="76" t="str">
        <f t="shared" si="31"/>
        <v>VALORES NO COLOCADOS</v>
      </c>
      <c r="AU40" s="72" t="s">
        <v>31</v>
      </c>
      <c r="AV40" s="36"/>
      <c r="AW40" s="47" t="str">
        <f t="shared" si="32"/>
        <v>0</v>
      </c>
      <c r="AX40" s="36"/>
      <c r="AY40" s="72" t="s">
        <v>31</v>
      </c>
      <c r="AZ40" s="36"/>
      <c r="BA40" s="47" t="str">
        <f t="shared" si="33"/>
        <v>0</v>
      </c>
      <c r="BB40" s="36"/>
      <c r="BC40" s="72" t="s">
        <v>31</v>
      </c>
      <c r="BD40" s="36"/>
      <c r="BE40" s="47" t="str">
        <f t="shared" si="34"/>
        <v>0</v>
      </c>
      <c r="BF40" s="36"/>
      <c r="BG40" s="76" t="str">
        <f t="shared" si="35"/>
        <v>VALORES NO COLOCADOS</v>
      </c>
      <c r="BH40" s="77" t="str">
        <f t="shared" si="36"/>
        <v>VALORES NO COLOCADOS</v>
      </c>
      <c r="BI40" s="78" t="str">
        <f t="shared" si="37"/>
        <v>VALORES NO COLOCADOS</v>
      </c>
      <c r="BJ40" s="41"/>
    </row>
    <row r="41" spans="1:62" ht="86.25" customHeight="1" x14ac:dyDescent="0.25">
      <c r="A41" s="12"/>
      <c r="B41" s="46">
        <v>15</v>
      </c>
      <c r="C41" s="35"/>
      <c r="D41" s="35"/>
      <c r="E41" s="36"/>
      <c r="F41" s="35"/>
      <c r="G41" s="72" t="s">
        <v>31</v>
      </c>
      <c r="H41" s="36"/>
      <c r="I41" s="47" t="str">
        <f t="shared" si="19"/>
        <v>0</v>
      </c>
      <c r="J41" s="35"/>
      <c r="K41" s="72" t="s">
        <v>31</v>
      </c>
      <c r="L41" s="36"/>
      <c r="M41" s="47" t="str">
        <f t="shared" si="20"/>
        <v>0</v>
      </c>
      <c r="N41" s="35"/>
      <c r="O41" s="72" t="s">
        <v>31</v>
      </c>
      <c r="P41" s="36"/>
      <c r="Q41" s="47" t="str">
        <f t="shared" si="21"/>
        <v>0</v>
      </c>
      <c r="R41" s="36"/>
      <c r="S41" s="76" t="str">
        <f t="shared" si="22"/>
        <v>VALORES NO COLOCADOS</v>
      </c>
      <c r="T41" s="72" t="s">
        <v>31</v>
      </c>
      <c r="U41" s="36"/>
      <c r="V41" s="47" t="str">
        <f t="shared" si="23"/>
        <v>0</v>
      </c>
      <c r="W41" s="36"/>
      <c r="X41" s="72" t="s">
        <v>31</v>
      </c>
      <c r="Y41" s="36"/>
      <c r="Z41" s="47" t="str">
        <f t="shared" si="24"/>
        <v>0</v>
      </c>
      <c r="AA41" s="36"/>
      <c r="AB41" s="72" t="s">
        <v>31</v>
      </c>
      <c r="AC41" s="36"/>
      <c r="AD41" s="47" t="str">
        <f t="shared" si="25"/>
        <v>0</v>
      </c>
      <c r="AE41" s="36"/>
      <c r="AF41" s="76" t="str">
        <f t="shared" si="26"/>
        <v>VALORES NO COLOCADOS</v>
      </c>
      <c r="AG41" s="77" t="str">
        <f t="shared" si="27"/>
        <v>VALORES NO COLOCADOS</v>
      </c>
      <c r="AH41" s="72" t="s">
        <v>31</v>
      </c>
      <c r="AI41" s="36"/>
      <c r="AJ41" s="47" t="str">
        <f t="shared" si="28"/>
        <v>0</v>
      </c>
      <c r="AK41" s="36"/>
      <c r="AL41" s="72" t="s">
        <v>31</v>
      </c>
      <c r="AM41" s="36"/>
      <c r="AN41" s="47" t="str">
        <f t="shared" si="29"/>
        <v>0</v>
      </c>
      <c r="AO41" s="36"/>
      <c r="AP41" s="72" t="s">
        <v>31</v>
      </c>
      <c r="AQ41" s="36"/>
      <c r="AR41" s="47" t="str">
        <f t="shared" si="30"/>
        <v>0</v>
      </c>
      <c r="AS41" s="36"/>
      <c r="AT41" s="76" t="str">
        <f t="shared" si="31"/>
        <v>VALORES NO COLOCADOS</v>
      </c>
      <c r="AU41" s="72" t="s">
        <v>31</v>
      </c>
      <c r="AV41" s="36"/>
      <c r="AW41" s="47" t="str">
        <f t="shared" si="32"/>
        <v>0</v>
      </c>
      <c r="AX41" s="36"/>
      <c r="AY41" s="72" t="s">
        <v>31</v>
      </c>
      <c r="AZ41" s="36"/>
      <c r="BA41" s="47" t="str">
        <f t="shared" si="33"/>
        <v>0</v>
      </c>
      <c r="BB41" s="36"/>
      <c r="BC41" s="72" t="s">
        <v>31</v>
      </c>
      <c r="BD41" s="36"/>
      <c r="BE41" s="47" t="str">
        <f t="shared" si="34"/>
        <v>0</v>
      </c>
      <c r="BF41" s="36"/>
      <c r="BG41" s="76" t="str">
        <f t="shared" si="35"/>
        <v>VALORES NO COLOCADOS</v>
      </c>
      <c r="BH41" s="77" t="str">
        <f t="shared" si="36"/>
        <v>VALORES NO COLOCADOS</v>
      </c>
      <c r="BI41" s="78" t="str">
        <f t="shared" si="37"/>
        <v>VALORES NO COLOCADOS</v>
      </c>
      <c r="BJ41" s="41"/>
    </row>
    <row r="42" spans="1:62" x14ac:dyDescent="0.25">
      <c r="C42" s="104"/>
      <c r="D42" s="105"/>
      <c r="E42" s="98"/>
      <c r="F42" s="99"/>
      <c r="G42" s="99"/>
      <c r="H42" s="99"/>
      <c r="I42" s="99"/>
      <c r="J42" s="99"/>
      <c r="K42" s="99"/>
      <c r="L42" s="99"/>
      <c r="M42" s="99"/>
      <c r="N42" s="99"/>
      <c r="O42" s="100"/>
    </row>
    <row r="43" spans="1:62" x14ac:dyDescent="0.25">
      <c r="C43" s="104"/>
      <c r="D43" s="105"/>
      <c r="E43" s="98"/>
      <c r="F43" s="99"/>
      <c r="G43" s="99"/>
      <c r="H43" s="99"/>
      <c r="I43" s="99"/>
      <c r="J43" s="99"/>
      <c r="K43" s="99"/>
      <c r="L43" s="99"/>
      <c r="M43" s="99"/>
      <c r="N43" s="99"/>
      <c r="O43" s="100"/>
    </row>
    <row r="44" spans="1:62" x14ac:dyDescent="0.25">
      <c r="C44" s="104"/>
      <c r="D44" s="105"/>
      <c r="E44" s="98"/>
      <c r="F44" s="99"/>
      <c r="G44" s="99"/>
      <c r="H44" s="99"/>
      <c r="I44" s="99"/>
      <c r="J44" s="99"/>
      <c r="K44" s="99"/>
      <c r="L44" s="99"/>
      <c r="M44" s="99"/>
      <c r="N44" s="99"/>
      <c r="O44" s="100"/>
    </row>
    <row r="45" spans="1:62" x14ac:dyDescent="0.25">
      <c r="C45" s="104"/>
      <c r="D45" s="105"/>
      <c r="E45" s="98"/>
      <c r="F45" s="99"/>
      <c r="G45" s="99"/>
      <c r="H45" s="99"/>
      <c r="I45" s="99"/>
      <c r="J45" s="99"/>
      <c r="K45" s="99"/>
      <c r="L45" s="99"/>
      <c r="M45" s="99"/>
      <c r="N45" s="99"/>
      <c r="O45" s="100"/>
    </row>
    <row r="46" spans="1:62" x14ac:dyDescent="0.25">
      <c r="C46" s="104"/>
      <c r="D46" s="105"/>
      <c r="E46" s="98"/>
      <c r="F46" s="99"/>
      <c r="G46" s="99"/>
      <c r="H46" s="99"/>
      <c r="I46" s="99"/>
      <c r="J46" s="99"/>
      <c r="K46" s="99"/>
      <c r="L46" s="99"/>
      <c r="M46" s="99"/>
      <c r="N46" s="99"/>
      <c r="O46" s="100"/>
    </row>
    <row r="47" spans="1:62" x14ac:dyDescent="0.25">
      <c r="C47" s="104"/>
      <c r="D47" s="105"/>
      <c r="E47" s="98"/>
      <c r="F47" s="99"/>
      <c r="G47" s="99"/>
      <c r="H47" s="99"/>
      <c r="I47" s="99"/>
      <c r="J47" s="99"/>
      <c r="K47" s="99"/>
      <c r="L47" s="99"/>
      <c r="M47" s="99"/>
      <c r="N47" s="99"/>
      <c r="O47" s="100"/>
    </row>
    <row r="48" spans="1:62" x14ac:dyDescent="0.25">
      <c r="C48" s="104"/>
      <c r="D48" s="105"/>
      <c r="E48" s="98"/>
      <c r="F48" s="99"/>
      <c r="G48" s="99"/>
      <c r="H48" s="99"/>
      <c r="I48" s="99"/>
      <c r="J48" s="99"/>
      <c r="K48" s="99"/>
      <c r="L48" s="99"/>
      <c r="M48" s="99"/>
      <c r="N48" s="99"/>
      <c r="O48" s="100"/>
    </row>
    <row r="49" spans="3:15" x14ac:dyDescent="0.25">
      <c r="C49" s="106"/>
      <c r="D49" s="107"/>
      <c r="E49" s="101"/>
      <c r="F49" s="102"/>
      <c r="G49" s="102"/>
      <c r="H49" s="102"/>
      <c r="I49" s="102"/>
      <c r="J49" s="102"/>
      <c r="K49" s="102"/>
      <c r="L49" s="102"/>
      <c r="M49" s="102"/>
      <c r="N49" s="102"/>
      <c r="O49" s="103"/>
    </row>
  </sheetData>
  <sheetProtection insertColumns="0" insertRows="0" deleteRows="0" selectLockedCells="1" sort="0"/>
  <mergeCells count="6">
    <mergeCell ref="E42:O49"/>
    <mergeCell ref="C42:D49"/>
    <mergeCell ref="D16:D17"/>
    <mergeCell ref="D14:D15"/>
    <mergeCell ref="C14:C15"/>
    <mergeCell ref="D18:D22"/>
  </mergeCells>
  <phoneticPr fontId="16" type="noConversion"/>
  <printOptions horizontalCentered="1" verticalCentered="1"/>
  <pageMargins left="0.19685039370078741" right="0.19685039370078741" top="0.19685039370078741" bottom="0.19685039370078741" header="0.31496062992125984" footer="0.31496062992125984"/>
  <pageSetup scale="17" orientation="landscape" horizontalDpi="4294967293"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7 POA 2022</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Yesenia Beatriz Lemus de Avila</dc:creator>
  <cp:lastModifiedBy>Christian Eduardo Linares García</cp:lastModifiedBy>
  <cp:lastPrinted>2021-09-21T22:00:40Z</cp:lastPrinted>
  <dcterms:created xsi:type="dcterms:W3CDTF">2021-09-17T15:03:57Z</dcterms:created>
  <dcterms:modified xsi:type="dcterms:W3CDTF">2025-02-13T17:38:44Z</dcterms:modified>
</cp:coreProperties>
</file>